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Notas" sheetId="2" state="visible" r:id="rId2"/>
    <sheet xmlns:r="http://schemas.openxmlformats.org/officeDocument/2006/relationships" name="Control Zx IPE" sheetId="3" state="visible" r:id="rId3"/>
    <sheet xmlns:r="http://schemas.openxmlformats.org/officeDocument/2006/relationships" name="Ej A01" sheetId="4" state="visible" r:id="rId4"/>
    <sheet xmlns:r="http://schemas.openxmlformats.org/officeDocument/2006/relationships" name="Ej A02" sheetId="5" state="visible" r:id="rId5"/>
    <sheet xmlns:r="http://schemas.openxmlformats.org/officeDocument/2006/relationships" name="Ej A03" sheetId="6" state="visible" r:id="rId6"/>
    <sheet xmlns:r="http://schemas.openxmlformats.org/officeDocument/2006/relationships" name="Ej A04" sheetId="7" state="visible" r:id="rId7"/>
    <sheet xmlns:r="http://schemas.openxmlformats.org/officeDocument/2006/relationships" name="Ej A05" sheetId="8" state="visible" r:id="rId8"/>
    <sheet xmlns:r="http://schemas.openxmlformats.org/officeDocument/2006/relationships" name="Ej A06" sheetId="9" state="visible" r:id="rId9"/>
    <sheet xmlns:r="http://schemas.openxmlformats.org/officeDocument/2006/relationships" name="Ej A07" sheetId="10" state="visible" r:id="rId10"/>
    <sheet xmlns:r="http://schemas.openxmlformats.org/officeDocument/2006/relationships" name="Ej A08" sheetId="11" state="visible" r:id="rId11"/>
    <sheet xmlns:r="http://schemas.openxmlformats.org/officeDocument/2006/relationships" name="Ej A09" sheetId="12" state="visible" r:id="rId12"/>
    <sheet xmlns:r="http://schemas.openxmlformats.org/officeDocument/2006/relationships" name="Ej C01" sheetId="13" state="visible" r:id="rId13"/>
    <sheet xmlns:r="http://schemas.openxmlformats.org/officeDocument/2006/relationships" name="Ej C02" sheetId="14" state="visible" r:id="rId14"/>
    <sheet xmlns:r="http://schemas.openxmlformats.org/officeDocument/2006/relationships" name="Ej C03" sheetId="15" state="visible" r:id="rId15"/>
    <sheet xmlns:r="http://schemas.openxmlformats.org/officeDocument/2006/relationships" name="Ej C04" sheetId="16" state="visible" r:id="rId16"/>
    <sheet xmlns:r="http://schemas.openxmlformats.org/officeDocument/2006/relationships" name="Ej C05" sheetId="17" state="visible" r:id="rId17"/>
    <sheet xmlns:r="http://schemas.openxmlformats.org/officeDocument/2006/relationships" name="Ej C06" sheetId="18" state="visible" r:id="rId18"/>
    <sheet xmlns:r="http://schemas.openxmlformats.org/officeDocument/2006/relationships" name="Ej C07" sheetId="19" state="visible" r:id="rId19"/>
    <sheet xmlns:r="http://schemas.openxmlformats.org/officeDocument/2006/relationships" name="Ej C08" sheetId="20" state="visible" r:id="rId20"/>
    <sheet xmlns:r="http://schemas.openxmlformats.org/officeDocument/2006/relationships" name="Ej C09" sheetId="21" state="visible" r:id="rId21"/>
    <sheet xmlns:r="http://schemas.openxmlformats.org/officeDocument/2006/relationships" name="Ej C10" sheetId="22" state="visible" r:id="rId22"/>
    <sheet xmlns:r="http://schemas.openxmlformats.org/officeDocument/2006/relationships" name="Ej C11" sheetId="23" state="visible" r:id="rId23"/>
    <sheet xmlns:r="http://schemas.openxmlformats.org/officeDocument/2006/relationships" name="Ej C12" sheetId="24" state="visible" r:id="rId24"/>
    <sheet xmlns:r="http://schemas.openxmlformats.org/officeDocument/2006/relationships" name="Ej C13" sheetId="25" state="visible" r:id="rId25"/>
    <sheet xmlns:r="http://schemas.openxmlformats.org/officeDocument/2006/relationships" name="Ej C14" sheetId="26" state="visible" r:id="rId26"/>
    <sheet xmlns:r="http://schemas.openxmlformats.org/officeDocument/2006/relationships" name="Ej C15" sheetId="27" state="visible" r:id="rId27"/>
    <sheet xmlns:r="http://schemas.openxmlformats.org/officeDocument/2006/relationships" name="Ej C16" sheetId="28" state="visible" r:id="rId28"/>
    <sheet xmlns:r="http://schemas.openxmlformats.org/officeDocument/2006/relationships" name="Ej C17" sheetId="29" state="visible" r:id="rId29"/>
    <sheet xmlns:r="http://schemas.openxmlformats.org/officeDocument/2006/relationships" name="Ej N01" sheetId="30" state="visible" r:id="rId30"/>
    <sheet xmlns:r="http://schemas.openxmlformats.org/officeDocument/2006/relationships" name="Ej N02" sheetId="31" state="visible" r:id="rId31"/>
    <sheet xmlns:r="http://schemas.openxmlformats.org/officeDocument/2006/relationships" name="Ej N03" sheetId="32" state="visible" r:id="rId32"/>
    <sheet xmlns:r="http://schemas.openxmlformats.org/officeDocument/2006/relationships" name="Ej N04" sheetId="33" state="visible" r:id="rId33"/>
    <sheet xmlns:r="http://schemas.openxmlformats.org/officeDocument/2006/relationships" name="Ej N05" sheetId="34" state="visible" r:id="rId34"/>
    <sheet xmlns:r="http://schemas.openxmlformats.org/officeDocument/2006/relationships" name="Ej N06" sheetId="35" state="visible" r:id="rId35"/>
    <sheet xmlns:r="http://schemas.openxmlformats.org/officeDocument/2006/relationships" name="Ej N07" sheetId="36" state="visible" r:id="rId36"/>
    <sheet xmlns:r="http://schemas.openxmlformats.org/officeDocument/2006/relationships" name="Ej N08" sheetId="37" state="visible" r:id="rId37"/>
    <sheet xmlns:r="http://schemas.openxmlformats.org/officeDocument/2006/relationships" name="Ej N10" sheetId="38" state="visible" r:id="rId38"/>
    <sheet xmlns:r="http://schemas.openxmlformats.org/officeDocument/2006/relationships" name="Ej N13" sheetId="39" state="visible" r:id="rId39"/>
    <sheet xmlns:r="http://schemas.openxmlformats.org/officeDocument/2006/relationships" name="Ej N15" sheetId="40" state="visible" r:id="rId40"/>
    <sheet xmlns:r="http://schemas.openxmlformats.org/officeDocument/2006/relationships" name="Ej N16" sheetId="41" state="visible" r:id="rId41"/>
    <sheet xmlns:r="http://schemas.openxmlformats.org/officeDocument/2006/relationships" name="Ej F01" sheetId="42" state="visible" r:id="rId42"/>
    <sheet xmlns:r="http://schemas.openxmlformats.org/officeDocument/2006/relationships" name="Ej F02" sheetId="43" state="visible" r:id="rId43"/>
    <sheet xmlns:r="http://schemas.openxmlformats.org/officeDocument/2006/relationships" name="Ej F03" sheetId="44" state="visible" r:id="rId44"/>
    <sheet xmlns:r="http://schemas.openxmlformats.org/officeDocument/2006/relationships" name="Ej N09" sheetId="45" state="visible" r:id="rId45"/>
    <sheet xmlns:r="http://schemas.openxmlformats.org/officeDocument/2006/relationships" name="Ej N11" sheetId="46" state="visible" r:id="rId46"/>
    <sheet xmlns:r="http://schemas.openxmlformats.org/officeDocument/2006/relationships" name="Ej N12" sheetId="47" state="visible" r:id="rId47"/>
    <sheet xmlns:r="http://schemas.openxmlformats.org/officeDocument/2006/relationships" name="Ej N14" sheetId="48" state="visible" r:id="rId48"/>
  </sheets>
  <definedNames/>
  <calcPr calcId="124519" fullCalcOnLoad="1"/>
</workbook>
</file>

<file path=xl/styles.xml><?xml version="1.0" encoding="utf-8"?>
<styleSheet xmlns="http://schemas.openxmlformats.org/spreadsheetml/2006/main">
  <numFmts count="9">
    <numFmt numFmtId="164" formatCode="#,##0.000"/>
    <numFmt numFmtId="165" formatCode="0.00000"/>
    <numFmt numFmtId="166" formatCode="0.0000E+00"/>
    <numFmt numFmtId="167" formatCode="0.0000%"/>
    <numFmt numFmtId="168" formatCode="0.0E+00"/>
    <numFmt numFmtId="169" formatCode="0.000000E+00"/>
    <numFmt numFmtId="170" formatCode="0.000000"/>
    <numFmt numFmtId="171" formatCode="0.0"/>
    <numFmt numFmtId="172" formatCode="0.0%"/>
  </numFmts>
  <fonts count="9">
    <font>
      <name val="Calibri"/>
      <family val="2"/>
      <color theme="1"/>
      <sz val="11"/>
      <scheme val="minor"/>
    </font>
    <font>
      <name val="Arial"/>
      <b val="1"/>
      <sz val="14"/>
    </font>
    <font>
      <name val="Arial"/>
      <color rgb="00555555"/>
      <sz val="10"/>
    </font>
    <font>
      <name val="Arial"/>
      <color rgb="000563C1"/>
      <sz val="10"/>
      <u val="single"/>
    </font>
    <font>
      <name val="Arial"/>
      <sz val="10"/>
    </font>
    <font>
      <name val="Arial"/>
      <b val="1"/>
      <color rgb="001F4E5F"/>
      <sz val="11"/>
    </font>
    <font>
      <name val="Arial"/>
      <b val="1"/>
      <color rgb="00FFFFFF"/>
      <sz val="10"/>
    </font>
    <font>
      <name val="Arial"/>
      <color rgb="000000FF"/>
      <sz val="10"/>
    </font>
    <font>
      <name val="Arial"/>
      <b val="1"/>
      <sz val="10"/>
    </font>
  </fonts>
  <fills count="6">
    <fill>
      <patternFill/>
    </fill>
    <fill>
      <patternFill patternType="gray125"/>
    </fill>
    <fill>
      <patternFill patternType="solid">
        <fgColor rgb="00DCEBEF"/>
      </patternFill>
    </fill>
    <fill>
      <patternFill patternType="solid">
        <fgColor rgb="001F4E5F"/>
      </patternFill>
    </fill>
    <fill>
      <patternFill patternType="solid">
        <fgColor rgb="00FFFFE0"/>
      </patternFill>
    </fill>
    <fill>
      <patternFill patternType="solid">
        <fgColor rgb="00FFF2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5" fillId="0" borderId="0" pivotButton="0" quotePrefix="0" xfId="0"/>
    <xf numFmtId="0" fontId="8" fillId="0" borderId="0" pivotButton="0" quotePrefix="0" xfId="0"/>
    <xf numFmtId="0" fontId="6" fillId="3" borderId="1" applyAlignment="1" pivotButton="0" quotePrefix="0" xfId="0">
      <alignment horizontal="center" vertical="center" wrapText="1"/>
    </xf>
    <xf numFmtId="0" fontId="3" fillId="0" borderId="1" applyAlignment="1" pivotButton="0" quotePrefix="0" xfId="0">
      <alignment horizontal="left" vertical="center"/>
    </xf>
    <xf numFmtId="0" fontId="4" fillId="0" borderId="1" applyAlignment="1" pivotButton="0" quotePrefix="0" xfId="0">
      <alignment horizontal="left" vertical="center"/>
    </xf>
    <xf numFmtId="0" fontId="4" fillId="0" borderId="1" applyAlignment="1" pivotButton="0" quotePrefix="0" xfId="0">
      <alignment vertical="top" wrapText="1"/>
    </xf>
    <xf numFmtId="0" fontId="2" fillId="0" borderId="1" applyAlignment="1" pivotButton="0" quotePrefix="0" xfId="0">
      <alignment vertical="top" wrapText="1"/>
    </xf>
    <xf numFmtId="0" fontId="4" fillId="0" borderId="1" applyAlignment="1" pivotButton="0" quotePrefix="0" xfId="0">
      <alignment horizontal="center" vertical="center"/>
    </xf>
    <xf numFmtId="0" fontId="8" fillId="0" borderId="1" applyAlignment="1" pivotButton="0" quotePrefix="0" xfId="0">
      <alignment horizontal="center" vertical="center"/>
    </xf>
    <xf numFmtId="0" fontId="5" fillId="2" borderId="0" applyAlignment="1" pivotButton="0" quotePrefix="0" xfId="0">
      <alignment vertical="top" wrapText="1"/>
    </xf>
    <xf numFmtId="0" fontId="0" fillId="2" borderId="0" pivotButton="0" quotePrefix="0" xfId="0"/>
    <xf numFmtId="0" fontId="4" fillId="0" borderId="0" applyAlignment="1" pivotButton="0" quotePrefix="0" xfId="0">
      <alignment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1" pivotButton="0" quotePrefix="0" xfId="0"/>
    <xf numFmtId="0" fontId="7" fillId="4" borderId="1" pivotButton="0" quotePrefix="0" xfId="0"/>
    <xf numFmtId="171" fontId="4" fillId="0" borderId="1" pivotButton="0" quotePrefix="0" xfId="0"/>
    <xf numFmtId="172" fontId="8" fillId="0" borderId="1" pivotButton="0" quotePrefix="0" xfId="0"/>
    <xf numFmtId="0" fontId="3" fillId="0" borderId="0" pivotButton="0" quotePrefix="0" xfId="0"/>
    <xf numFmtId="0" fontId="5" fillId="2" borderId="0" pivotButton="0" quotePrefix="0" xfId="0"/>
    <xf numFmtId="164" fontId="7" fillId="4" borderId="1" pivotButton="0" quotePrefix="0" xfId="0"/>
    <xf numFmtId="0" fontId="2" fillId="0" borderId="1" pivotButton="0" quotePrefix="0" xfId="0"/>
    <xf numFmtId="165" fontId="7" fillId="4" borderId="1" pivotButton="0" quotePrefix="0" xfId="0"/>
    <xf numFmtId="165" fontId="4" fillId="0" borderId="1" pivotButton="0" quotePrefix="0" xfId="0"/>
    <xf numFmtId="166" fontId="4" fillId="0" borderId="1" pivotButton="0" quotePrefix="0" xfId="0"/>
    <xf numFmtId="167" fontId="4" fillId="0" borderId="1" pivotButton="0" quotePrefix="0" xfId="0"/>
    <xf numFmtId="167" fontId="7" fillId="4" borderId="1" pivotButton="0" quotePrefix="0" xfId="0"/>
    <xf numFmtId="168" fontId="7" fillId="4" borderId="1" pivotButton="0" quotePrefix="0" xfId="0"/>
    <xf numFmtId="0" fontId="8" fillId="0" borderId="1" applyAlignment="1" pivotButton="0" quotePrefix="0" xfId="0">
      <alignment horizontal="center"/>
    </xf>
    <xf numFmtId="0" fontId="4" fillId="5" borderId="1" pivotButton="0" quotePrefix="0" xfId="0"/>
    <xf numFmtId="169" fontId="4" fillId="0" borderId="1" pivotButton="0" quotePrefix="0" xfId="0"/>
    <xf numFmtId="169" fontId="7" fillId="4" borderId="1" pivotButton="0" quotePrefix="0" xfId="0"/>
    <xf numFmtId="166" fontId="7" fillId="4" borderId="1" pivotButton="0" quotePrefix="0" xfId="0"/>
    <xf numFmtId="170" fontId="4" fillId="0" borderId="1" pivotButton="0" quotePrefix="0" xfId="0"/>
    <xf numFmtId="170" fontId="7" fillId="4" borderId="1" pivotButton="0" quotePrefix="0" xfId="0"/>
    <xf numFmtId="164" fontId="4" fillId="0" borderId="1" pivotButton="0" quotePrefix="0" xfId="0"/>
  </cellXfs>
  <cellStyles count="1">
    <cellStyle name="Normal" xfId="0" builtinId="0" hidden="0"/>
  </cellStyles>
  <dxfs count="2">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styles" Target="styles.xml" Id="rId49"/><Relationship Type="http://schemas.openxmlformats.org/officeDocument/2006/relationships/theme" Target="theme/theme1.xml" Id="rId5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Ej A01'!A1" TargetMode="External" Id="rId1"/><Relationship Type="http://schemas.openxmlformats.org/officeDocument/2006/relationships/hyperlink" Target="#'Ej A02'!A1" TargetMode="External" Id="rId2"/><Relationship Type="http://schemas.openxmlformats.org/officeDocument/2006/relationships/hyperlink" Target="#'Ej A03'!A1" TargetMode="External" Id="rId3"/><Relationship Type="http://schemas.openxmlformats.org/officeDocument/2006/relationships/hyperlink" Target="#'Ej A04'!A1" TargetMode="External" Id="rId4"/><Relationship Type="http://schemas.openxmlformats.org/officeDocument/2006/relationships/hyperlink" Target="#'Ej A05'!A1" TargetMode="External" Id="rId5"/><Relationship Type="http://schemas.openxmlformats.org/officeDocument/2006/relationships/hyperlink" Target="#'Ej A06'!A1" TargetMode="External" Id="rId6"/><Relationship Type="http://schemas.openxmlformats.org/officeDocument/2006/relationships/hyperlink" Target="#'Ej A07'!A1" TargetMode="External" Id="rId7"/><Relationship Type="http://schemas.openxmlformats.org/officeDocument/2006/relationships/hyperlink" Target="#'Ej A08'!A1" TargetMode="External" Id="rId8"/><Relationship Type="http://schemas.openxmlformats.org/officeDocument/2006/relationships/hyperlink" Target="#'Ej A09'!A1" TargetMode="External" Id="rId9"/><Relationship Type="http://schemas.openxmlformats.org/officeDocument/2006/relationships/hyperlink" Target="#'Ej C01'!A1" TargetMode="External" Id="rId10"/><Relationship Type="http://schemas.openxmlformats.org/officeDocument/2006/relationships/hyperlink" Target="#'Ej C02'!A1" TargetMode="External" Id="rId11"/><Relationship Type="http://schemas.openxmlformats.org/officeDocument/2006/relationships/hyperlink" Target="#'Ej C03'!A1" TargetMode="External" Id="rId12"/><Relationship Type="http://schemas.openxmlformats.org/officeDocument/2006/relationships/hyperlink" Target="#'Ej C04'!A1" TargetMode="External" Id="rId13"/><Relationship Type="http://schemas.openxmlformats.org/officeDocument/2006/relationships/hyperlink" Target="#'Ej C05'!A1" TargetMode="External" Id="rId14"/><Relationship Type="http://schemas.openxmlformats.org/officeDocument/2006/relationships/hyperlink" Target="#'Ej C06'!A1" TargetMode="External" Id="rId15"/><Relationship Type="http://schemas.openxmlformats.org/officeDocument/2006/relationships/hyperlink" Target="#'Ej C07'!A1" TargetMode="External" Id="rId16"/><Relationship Type="http://schemas.openxmlformats.org/officeDocument/2006/relationships/hyperlink" Target="#'Ej C08'!A1" TargetMode="External" Id="rId17"/><Relationship Type="http://schemas.openxmlformats.org/officeDocument/2006/relationships/hyperlink" Target="#'Ej C09'!A1" TargetMode="External" Id="rId18"/><Relationship Type="http://schemas.openxmlformats.org/officeDocument/2006/relationships/hyperlink" Target="#'Ej C10'!A1" TargetMode="External" Id="rId19"/><Relationship Type="http://schemas.openxmlformats.org/officeDocument/2006/relationships/hyperlink" Target="#'Ej C11'!A1" TargetMode="External" Id="rId20"/><Relationship Type="http://schemas.openxmlformats.org/officeDocument/2006/relationships/hyperlink" Target="#'Ej C12'!A1" TargetMode="External" Id="rId21"/><Relationship Type="http://schemas.openxmlformats.org/officeDocument/2006/relationships/hyperlink" Target="#'Ej C13'!A1" TargetMode="External" Id="rId22"/><Relationship Type="http://schemas.openxmlformats.org/officeDocument/2006/relationships/hyperlink" Target="#'Ej C14'!A1" TargetMode="External" Id="rId23"/><Relationship Type="http://schemas.openxmlformats.org/officeDocument/2006/relationships/hyperlink" Target="#'Ej C15'!A1" TargetMode="External" Id="rId24"/><Relationship Type="http://schemas.openxmlformats.org/officeDocument/2006/relationships/hyperlink" Target="#'Ej C16'!A1" TargetMode="External" Id="rId25"/><Relationship Type="http://schemas.openxmlformats.org/officeDocument/2006/relationships/hyperlink" Target="#'Ej C17'!A1" TargetMode="External" Id="rId26"/><Relationship Type="http://schemas.openxmlformats.org/officeDocument/2006/relationships/hyperlink" Target="#'Ej N01'!A1" TargetMode="External" Id="rId27"/><Relationship Type="http://schemas.openxmlformats.org/officeDocument/2006/relationships/hyperlink" Target="#'Ej N02'!A1" TargetMode="External" Id="rId28"/><Relationship Type="http://schemas.openxmlformats.org/officeDocument/2006/relationships/hyperlink" Target="#'Ej N03'!A1" TargetMode="External" Id="rId29"/><Relationship Type="http://schemas.openxmlformats.org/officeDocument/2006/relationships/hyperlink" Target="#'Ej N04'!A1" TargetMode="External" Id="rId30"/><Relationship Type="http://schemas.openxmlformats.org/officeDocument/2006/relationships/hyperlink" Target="#'Ej N05'!A1" TargetMode="External" Id="rId31"/><Relationship Type="http://schemas.openxmlformats.org/officeDocument/2006/relationships/hyperlink" Target="#'Ej N06'!A1" TargetMode="External" Id="rId32"/><Relationship Type="http://schemas.openxmlformats.org/officeDocument/2006/relationships/hyperlink" Target="#'Ej N07'!A1" TargetMode="External" Id="rId33"/><Relationship Type="http://schemas.openxmlformats.org/officeDocument/2006/relationships/hyperlink" Target="#'Ej N08'!A1" TargetMode="External" Id="rId34"/><Relationship Type="http://schemas.openxmlformats.org/officeDocument/2006/relationships/hyperlink" Target="#'Ej N10'!A1" TargetMode="External" Id="rId35"/><Relationship Type="http://schemas.openxmlformats.org/officeDocument/2006/relationships/hyperlink" Target="#'Ej N13'!A1" TargetMode="External" Id="rId36"/><Relationship Type="http://schemas.openxmlformats.org/officeDocument/2006/relationships/hyperlink" Target="#'Ej N15'!A1" TargetMode="External" Id="rId37"/><Relationship Type="http://schemas.openxmlformats.org/officeDocument/2006/relationships/hyperlink" Target="#'Ej N16'!A1" TargetMode="External" Id="rId38"/><Relationship Type="http://schemas.openxmlformats.org/officeDocument/2006/relationships/hyperlink" Target="#'Ej F01'!A1" TargetMode="External" Id="rId39"/><Relationship Type="http://schemas.openxmlformats.org/officeDocument/2006/relationships/hyperlink" Target="#'Ej F02'!A1" TargetMode="External" Id="rId40"/><Relationship Type="http://schemas.openxmlformats.org/officeDocument/2006/relationships/hyperlink" Target="#'Ej F03'!A1" TargetMode="External" Id="rId41"/><Relationship Type="http://schemas.openxmlformats.org/officeDocument/2006/relationships/hyperlink" Target="#'Ej N09'!A1" TargetMode="External" Id="rId42"/><Relationship Type="http://schemas.openxmlformats.org/officeDocument/2006/relationships/hyperlink" Target="#'Ej N11'!A1" TargetMode="External" Id="rId43"/><Relationship Type="http://schemas.openxmlformats.org/officeDocument/2006/relationships/hyperlink" Target="#'Ej N12'!A1" TargetMode="External" Id="rId44"/><Relationship Type="http://schemas.openxmlformats.org/officeDocument/2006/relationships/hyperlink" Target="#'Ej N14'!A1" TargetMode="External" Id="rId45"/></Relationships>
</file>

<file path=xl/worksheets/_rels/sheet2.xml.rels><Relationships xmlns="http://schemas.openxmlformats.org/package/2006/relationships"><Relationship Type="http://schemas.openxmlformats.org/officeDocument/2006/relationships/hyperlink" Target="https://user.eng.umd.edu/~austin/ence353.d/lecture-material2025/direct-stiffness-method.pdf" TargetMode="External" Id="rId1"/><Relationship Type="http://schemas.openxmlformats.org/officeDocument/2006/relationships/hyperlink" Target="https://www.ce.memphis.edu/7117/notes/presentations/chapter_05b.pdf" TargetMode="External" Id="rId2"/><Relationship Type="http://schemas.openxmlformats.org/officeDocument/2006/relationships/hyperlink" Target="https://www.inti.gob.ar/assets/uploads/files/cirsoc/EJEMPLOS%202/EJEMPLOS%202.2/1_%20ejemplos_301.pdf" TargetMode="External" Id="rId3"/><Relationship Type="http://schemas.openxmlformats.org/officeDocument/2006/relationships/hyperlink" Target="https://www.egr.msu.edu/~harichan/classes/ce405/chap3.pdf" TargetMode="External" Id="rId4"/></Relationships>
</file>

<file path=xl/worksheets/_rels/sheet4.xml.rels><Relationships xmlns="http://schemas.openxmlformats.org/package/2006/relationships"><Relationship Type="http://schemas.openxmlformats.org/officeDocument/2006/relationships/hyperlink" Target="https://user.eng.umd.edu/~austin/ence353.d/lecture-material2025/direct-stiffness-method.pdf" TargetMode="External" Id="rId1"/></Relationships>
</file>

<file path=xl/worksheets/_rels/sheet5.xml.rels><Relationships xmlns="http://schemas.openxmlformats.org/package/2006/relationships"><Relationship Type="http://schemas.openxmlformats.org/officeDocument/2006/relationships/hyperlink" Target="https://user.eng.umd.edu/~austin/ence353.d/lecture-material2025/direct-stiffness-method.pdf" TargetMode="External" Id="rId1"/></Relationships>
</file>

<file path=xl/worksheets/_rels/sheet6.xml.rels><Relationships xmlns="http://schemas.openxmlformats.org/package/2006/relationships"><Relationship Type="http://schemas.openxmlformats.org/officeDocument/2006/relationships/hyperlink" Target="https://user.eng.umd.edu/~austin/ence353.d/lecture-material2025/direct-stiffness-method.pdf" TargetMode="External" Id="rId1"/></Relationships>
</file>

<file path=xl/worksheets/_rels/sheet7.xml.rels><Relationships xmlns="http://schemas.openxmlformats.org/package/2006/relationships"><Relationship Type="http://schemas.openxmlformats.org/officeDocument/2006/relationships/hyperlink" Target="https://www.ce.memphis.edu/7117/notes/presentations/chapter_05b.pdf" TargetMode="External" Id="rId1"/></Relationships>
</file>

<file path=xl/worksheets/_rels/sheet8.xml.rels><Relationships xmlns="http://schemas.openxmlformats.org/package/2006/relationships"><Relationship Type="http://schemas.openxmlformats.org/officeDocument/2006/relationships/hyperlink" Target="https://www.inti.gob.ar/assets/uploads/files/cirsoc/EJEMPLOS%202/EJEMPLOS%202.2/1_%20ejemplos_301.pdf" TargetMode="External" Id="rId1"/></Relationships>
</file>

<file path=xl/worksheets/_rels/sheet9.xml.rels><Relationships xmlns="http://schemas.openxmlformats.org/package/2006/relationships"><Relationship Type="http://schemas.openxmlformats.org/officeDocument/2006/relationships/hyperlink" Target="https://www.inti.gob.ar/assets/uploads/files/cirsoc/EJEMPLOS%202/EJEMPLOS%202.2/1_%20ejemplos_301.pdf" TargetMode="External" Id="rId1"/></Relationships>
</file>

<file path=xl/worksheets/_rels/sheet10.xml.rels><Relationships xmlns="http://schemas.openxmlformats.org/package/2006/relationships"><Relationship Type="http://schemas.openxmlformats.org/officeDocument/2006/relationships/hyperlink" Target="https://www.inti.gob.ar/assets/uploads/files/cirsoc/EJEMPLOS%202/EJEMPLOS%202.2/1_%20ejemplos_301.pdf" TargetMode="External" Id="rId1"/></Relationships>
</file>

<file path=xl/worksheets/_rels/sheet11.xml.rels><Relationships xmlns="http://schemas.openxmlformats.org/package/2006/relationships"><Relationship Type="http://schemas.openxmlformats.org/officeDocument/2006/relationships/hyperlink" Target="https://www.egr.msu.edu/~harichan/classes/ce405/chap3.pdf" TargetMode="External" Id="rId1"/></Relationships>
</file>

<file path=xl/worksheets/_rels/sheet12.xml.rels><Relationships xmlns="http://schemas.openxmlformats.org/package/2006/relationships"><Relationship Type="http://schemas.openxmlformats.org/officeDocument/2006/relationships/hyperlink" Target="https://www.egr.msu.edu/~harichan/classes/ce405/chap3.pdf" TargetMode="External" Id="rId1"/></Relationships>
</file>

<file path=xl/worksheets/sheet1.xml><?xml version="1.0" encoding="utf-8"?>
<worksheet xmlns="http://schemas.openxmlformats.org/spreadsheetml/2006/main">
  <sheetPr>
    <tabColor rgb="001F4E5F"/>
    <outlinePr summaryBelow="1" summaryRight="1"/>
    <pageSetUpPr fitToPage="1"/>
  </sheetPr>
  <dimension ref="A1:G52"/>
  <sheetViews>
    <sheetView showGridLines="0" workbookViewId="0">
      <pane ySplit="7" topLeftCell="A8" activePane="bottomLeft" state="frozen"/>
      <selection pane="bottomLeft" activeCell="A1" sqref="A1"/>
    </sheetView>
  </sheetViews>
  <sheetFormatPr baseColWidth="8" defaultRowHeight="15"/>
  <cols>
    <col width="8" customWidth="1" min="1" max="1"/>
    <col width="24" customWidth="1" min="2" max="2"/>
    <col width="62" customWidth="1" min="3" max="3"/>
    <col width="70" customWidth="1" min="4" max="4"/>
    <col width="15" customWidth="1" min="5" max="5"/>
    <col width="15" customWidth="1" min="6" max="6"/>
    <col width="14" customWidth="1" min="7" max="7"/>
  </cols>
  <sheetData>
    <row r="1">
      <c r="A1" s="1" t="inlineStr">
        <is>
          <t>Verificación de Atlas Estructuras 3D contra problemas resueltos</t>
        </is>
      </c>
    </row>
    <row r="2">
      <c r="A2" s="2" t="inlineStr">
        <is>
          <t>Informe generado el 05/10/2026. Cada hoja «Ej …» recrea un ejercicio, compara la solución de libro (o la fórmula cerrada) con el resultado del programa y muestra las fórmulas.</t>
        </is>
      </c>
    </row>
    <row r="4">
      <c r="A4" s="3" t="inlineStr">
        <is>
          <t>Resultado global</t>
        </is>
      </c>
    </row>
    <row r="5">
      <c r="A5" s="4" t="inlineStr">
        <is>
          <t>Ejercicios que verifican  (verifican | total)</t>
        </is>
      </c>
      <c r="E5" s="4">
        <f>COUNTIF(G8:G52,"VERIFICA")</f>
        <v/>
      </c>
      <c r="F5" s="4">
        <f>ROWS(G8:G52)</f>
        <v/>
      </c>
    </row>
    <row r="6">
      <c r="A6" s="4" t="inlineStr">
        <is>
          <t>Comprobaciones dentro de tolerancia  (dentro | total)</t>
        </is>
      </c>
      <c r="E6" s="4">
        <f>SUM(F8:F52)</f>
        <v/>
      </c>
      <c r="F6" s="4">
        <f>SUM(E8:E52)</f>
        <v/>
      </c>
    </row>
    <row r="7">
      <c r="A7" s="5" t="inlineStr">
        <is>
          <t>ID</t>
        </is>
      </c>
      <c r="B7" s="5" t="inlineStr">
        <is>
          <t>Tipo</t>
        </is>
      </c>
      <c r="C7" s="5" t="inlineStr">
        <is>
          <t>Ejercicio</t>
        </is>
      </c>
      <c r="D7" s="5" t="inlineStr">
        <is>
          <t>Fuente</t>
        </is>
      </c>
      <c r="E7" s="5" t="inlineStr">
        <is>
          <t>Comprobaciones</t>
        </is>
      </c>
      <c r="F7" s="5" t="inlineStr">
        <is>
          <t>Dentro de tolerancia</t>
        </is>
      </c>
      <c r="G7" s="5" t="inlineStr">
        <is>
          <t>Estado</t>
        </is>
      </c>
    </row>
    <row r="8" ht="28" customHeight="1">
      <c r="A8" s="6" t="inlineStr">
        <is>
          <t>A01</t>
        </is>
      </c>
      <c r="B8" s="7" t="inlineStr">
        <is>
          <t>Resultado publicado</t>
        </is>
      </c>
      <c r="C8" s="8" t="inlineStr">
        <is>
          <t>Cercha plana de 3 barras (carga horizontal)</t>
        </is>
      </c>
      <c r="D8" s="9" t="inlineStr">
        <is>
          <t>Prof. R. Austin, Univ. de Maryland, ENCE 353 · «Direct Stiffness Method» (apuntes de cátedra)</t>
        </is>
      </c>
      <c r="E8" s="10">
        <f>'Ej A01'!E22</f>
        <v/>
      </c>
      <c r="F8" s="10">
        <f>'Ej A01'!D22</f>
        <v/>
      </c>
      <c r="G8" s="11">
        <f>IF(F8=E8,"VERIFICA","DIFIERE")</f>
        <v/>
      </c>
    </row>
    <row r="9" ht="28" customHeight="1">
      <c r="A9" s="6" t="inlineStr">
        <is>
          <t>A02</t>
        </is>
      </c>
      <c r="B9" s="7" t="inlineStr">
        <is>
          <t>Resultado publicado</t>
        </is>
      </c>
      <c r="C9" s="8" t="inlineStr">
        <is>
          <t>Cercha plana de 5 barras (cuadrado con diagonal)</t>
        </is>
      </c>
      <c r="D9" s="9" t="inlineStr">
        <is>
          <t>Prof. R. Austin, Univ. de Maryland, ENCE 353 · «Direct Stiffness Method» (apuntes de cátedra)</t>
        </is>
      </c>
      <c r="E9" s="10">
        <f>'Ej A02'!E25</f>
        <v/>
      </c>
      <c r="F9" s="10">
        <f>'Ej A02'!D25</f>
        <v/>
      </c>
      <c r="G9" s="11">
        <f>IF(F9=E9,"VERIFICA","DIFIERE")</f>
        <v/>
      </c>
    </row>
    <row r="10" ht="28" customHeight="1">
      <c r="A10" s="6" t="inlineStr">
        <is>
          <t>A03</t>
        </is>
      </c>
      <c r="B10" s="7" t="inlineStr">
        <is>
          <t>Resultado publicado</t>
        </is>
      </c>
      <c r="C10" s="8" t="inlineStr">
        <is>
          <t>Cercha plana de 6 barras (cuadrado con dos diagonales)</t>
        </is>
      </c>
      <c r="D10" s="9" t="inlineStr">
        <is>
          <t>Prof. R. Austin, Univ. de Maryland, ENCE 353 · «Direct Stiffness Method» (apuntes de cátedra)</t>
        </is>
      </c>
      <c r="E10" s="10">
        <f>'Ej A03'!E27</f>
        <v/>
      </c>
      <c r="F10" s="10">
        <f>'Ej A03'!D27</f>
        <v/>
      </c>
      <c r="G10" s="11">
        <f>IF(F10=E10,"VERIFICA","DIFIERE")</f>
        <v/>
      </c>
    </row>
    <row r="11" ht="28" customHeight="1">
      <c r="A11" s="6" t="inlineStr">
        <is>
          <t>A04</t>
        </is>
      </c>
      <c r="B11" s="7" t="inlineStr">
        <is>
          <t>Resultado publicado</t>
        </is>
      </c>
      <c r="C11" s="8" t="inlineStr">
        <is>
          <t>Emparrillado en L empotrado en ambos extremos (flexión + torsión)</t>
        </is>
      </c>
      <c r="D11" s="9" t="inlineStr">
        <is>
          <t>Univ. de Memphis, CIVL 7117 · capítulo 5b, ejemplo de emparrillado (apuntes de cátedra)</t>
        </is>
      </c>
      <c r="E11" s="10">
        <f>'Ej A04'!E31</f>
        <v/>
      </c>
      <c r="F11" s="10">
        <f>'Ej A04'!D31</f>
        <v/>
      </c>
      <c r="G11" s="11">
        <f>IF(F11=E11,"VERIFICA","DIFIERE")</f>
        <v/>
      </c>
    </row>
    <row r="12" ht="28" customHeight="1">
      <c r="A12" s="6" t="inlineStr">
        <is>
          <t>A05</t>
        </is>
      </c>
      <c r="B12" s="7" t="inlineStr">
        <is>
          <t>Resultado publicado</t>
        </is>
      </c>
      <c r="C12" s="8" t="inlineStr">
        <is>
          <t>Barra traccionada IPB 120: resistencia por fluencia (ejemplo INTI-CIRSOC 4)</t>
        </is>
      </c>
      <c r="D12" s="9" t="inlineStr">
        <is>
          <t>INTI-CIRSOC · «Ejemplos de aplicación del Reglamento CIRSOC 301-EL» (Ejemplos 4, 5 y 6)</t>
        </is>
      </c>
      <c r="E12" s="10">
        <f>'Ej A05'!E24</f>
        <v/>
      </c>
      <c r="F12" s="10">
        <f>'Ej A05'!D24</f>
        <v/>
      </c>
      <c r="G12" s="11">
        <f>IF(F12=E12,"VERIFICA","DIFIERE")</f>
        <v/>
      </c>
    </row>
    <row r="13" ht="28" customHeight="1">
      <c r="A13" s="6" t="inlineStr">
        <is>
          <t>A06</t>
        </is>
      </c>
      <c r="B13" s="7" t="inlineStr">
        <is>
          <t>Resultado publicado</t>
        </is>
      </c>
      <c r="C13" s="8" t="inlineStr">
        <is>
          <t>Viga IPE 500 de 16 m: esfuerzos mayorados 1,2D + 1,6L (ejemplo INTI-CIRSOC 5)</t>
        </is>
      </c>
      <c r="D13" s="9" t="inlineStr">
        <is>
          <t>INTI-CIRSOC · «Ejemplos de aplicación del Reglamento CIRSOC 301-EL» (Ejemplos 4, 5 y 6)</t>
        </is>
      </c>
      <c r="E13" s="10">
        <f>'Ej A06'!E26</f>
        <v/>
      </c>
      <c r="F13" s="10">
        <f>'Ej A06'!D26</f>
        <v/>
      </c>
      <c r="G13" s="11">
        <f>IF(F13=E13,"VERIFICA","DIFIERE")</f>
        <v/>
      </c>
    </row>
    <row r="14" ht="28" customHeight="1">
      <c r="A14" s="6" t="inlineStr">
        <is>
          <t>A07</t>
        </is>
      </c>
      <c r="B14" s="7" t="inlineStr">
        <is>
          <t>Resultado publicado</t>
        </is>
      </c>
      <c r="C14" s="8" t="inlineStr">
        <is>
          <t>Viga PNI 300 de 10 m: momento mayorado y resistencia φb·Mp (ejemplo INTI-CIRSOC 6)</t>
        </is>
      </c>
      <c r="D14" s="9" t="inlineStr">
        <is>
          <t>INTI-CIRSOC · «Ejemplos de aplicación del Reglamento CIRSOC 301-EL» (Ejemplos 4, 5 y 6)</t>
        </is>
      </c>
      <c r="E14" s="10">
        <f>'Ej A07'!E24</f>
        <v/>
      </c>
      <c r="F14" s="10">
        <f>'Ej A07'!D24</f>
        <v/>
      </c>
      <c r="G14" s="11">
        <f>IF(F14=E14,"VERIFICA","DIFIERE")</f>
        <v/>
      </c>
    </row>
    <row r="15" ht="28" customHeight="1">
      <c r="A15" s="6" t="inlineStr">
        <is>
          <t>A08</t>
        </is>
      </c>
      <c r="B15" s="7" t="inlineStr">
        <is>
          <t>Resultado publicado</t>
        </is>
      </c>
      <c r="C15" s="8" t="inlineStr">
        <is>
          <t>Columna W14×74, A36, KL = 20 ft: resistencia a compresión (apuntes MSU, ej. 3.2)</t>
        </is>
      </c>
      <c r="D15" s="9" t="inlineStr">
        <is>
          <t>Michigan State Univ., CE 405 «Design of Steel Structures», cap. 3 «Compression members» (ejemplos 3.2 y 3.4, AISC-LRFD 1999)</t>
        </is>
      </c>
      <c r="E15" s="10">
        <f>'Ej A08'!E36</f>
        <v/>
      </c>
      <c r="F15" s="10">
        <f>'Ej A08'!D36</f>
        <v/>
      </c>
      <c r="G15" s="11">
        <f>IF(F15=E15,"VERIFICA","DIFIERE")</f>
        <v/>
      </c>
    </row>
    <row r="16" ht="28" customHeight="1">
      <c r="A16" s="6" t="inlineStr">
        <is>
          <t>A09</t>
        </is>
      </c>
      <c r="B16" s="7" t="inlineStr">
        <is>
          <t>Resultado publicado</t>
        </is>
      </c>
      <c r="C16" s="8" t="inlineStr">
        <is>
          <t>Columna W14×132, Fy = 50 ksi, longitudes distintas por eje (apuntes MSU, ej. 3.4)</t>
        </is>
      </c>
      <c r="D16" s="9" t="inlineStr">
        <is>
          <t>Michigan State Univ., CE 405 «Design of Steel Structures», cap. 3 «Compression members» (ejemplos 3.2 y 3.4, AISC-LRFD 1999)</t>
        </is>
      </c>
      <c r="E16" s="10">
        <f>'Ej A09'!E37</f>
        <v/>
      </c>
      <c r="F16" s="10">
        <f>'Ej A09'!D37</f>
        <v/>
      </c>
      <c r="G16" s="11">
        <f>IF(F16=E16,"VERIFICA","DIFIERE")</f>
        <v/>
      </c>
    </row>
    <row r="17" ht="28" customHeight="1">
      <c r="A17" s="6" t="inlineStr">
        <is>
          <t>C01</t>
        </is>
      </c>
      <c r="B17" s="7" t="inlineStr">
        <is>
          <t>Solución clásica</t>
        </is>
      </c>
      <c r="C17" s="8" t="inlineStr">
        <is>
          <t>Viga biapoyada con carga uniforme (D + L y combinaciones)</t>
        </is>
      </c>
      <c r="D17" s="9" t="inlineStr">
        <is>
          <t>Soluciones clásicas de resistencia de materiales y análisis estructural (tablas de vigas, método de pendiente-deflexión, método de los nudos, castigliano)</t>
        </is>
      </c>
      <c r="E17" s="10">
        <f>'Ej C01'!E27</f>
        <v/>
      </c>
      <c r="F17" s="10">
        <f>'Ej C01'!D27</f>
        <v/>
      </c>
      <c r="G17" s="11">
        <f>IF(F17=E17,"VERIFICA","DIFIERE")</f>
        <v/>
      </c>
    </row>
    <row r="18" ht="28" customHeight="1">
      <c r="A18" s="6" t="inlineStr">
        <is>
          <t>C02</t>
        </is>
      </c>
      <c r="B18" s="7" t="inlineStr">
        <is>
          <t>Solución clásica</t>
        </is>
      </c>
      <c r="C18" s="8" t="inlineStr">
        <is>
          <t>Voladizo con carga puntual en el extremo</t>
        </is>
      </c>
      <c r="D18" s="9" t="inlineStr">
        <is>
          <t>Soluciones clásicas de resistencia de materiales y análisis estructural (tablas de vigas, método de pendiente-deflexión, método de los nudos, castigliano)</t>
        </is>
      </c>
      <c r="E18" s="10">
        <f>'Ej C02'!E23</f>
        <v/>
      </c>
      <c r="F18" s="10">
        <f>'Ej C02'!D23</f>
        <v/>
      </c>
      <c r="G18" s="11">
        <f>IF(F18=E18,"VERIFICA","DIFIERE")</f>
        <v/>
      </c>
    </row>
    <row r="19" ht="28" customHeight="1">
      <c r="A19" s="6" t="inlineStr">
        <is>
          <t>C03</t>
        </is>
      </c>
      <c r="B19" s="7" t="inlineStr">
        <is>
          <t>Solución clásica</t>
        </is>
      </c>
      <c r="C19" s="8" t="inlineStr">
        <is>
          <t>Voladizo con carga uniforme</t>
        </is>
      </c>
      <c r="D19" s="9" t="inlineStr">
        <is>
          <t>Soluciones clásicas de resistencia de materiales y análisis estructural (tablas de vigas, método de pendiente-deflexión, método de los nudos, castigliano)</t>
        </is>
      </c>
      <c r="E19" s="10">
        <f>'Ej C03'!E21</f>
        <v/>
      </c>
      <c r="F19" s="10">
        <f>'Ej C03'!D21</f>
        <v/>
      </c>
      <c r="G19" s="11">
        <f>IF(F19=E19,"VERIFICA","DIFIERE")</f>
        <v/>
      </c>
    </row>
    <row r="20" ht="28" customHeight="1">
      <c r="A20" s="6" t="inlineStr">
        <is>
          <t>C04</t>
        </is>
      </c>
      <c r="B20" s="7" t="inlineStr">
        <is>
          <t>Solución clásica</t>
        </is>
      </c>
      <c r="C20" s="8" t="inlineStr">
        <is>
          <t>Viga biempotrada con carga uniforme</t>
        </is>
      </c>
      <c r="D20" s="9" t="inlineStr">
        <is>
          <t>Soluciones clásicas de resistencia de materiales y análisis estructural (tablas de vigas, método de pendiente-deflexión, método de los nudos, castigliano)</t>
        </is>
      </c>
      <c r="E20" s="10">
        <f>'Ej C04'!E21</f>
        <v/>
      </c>
      <c r="F20" s="10">
        <f>'Ej C04'!D21</f>
        <v/>
      </c>
      <c r="G20" s="11">
        <f>IF(F20=E20,"VERIFICA","DIFIERE")</f>
        <v/>
      </c>
    </row>
    <row r="21" ht="28" customHeight="1">
      <c r="A21" s="6" t="inlineStr">
        <is>
          <t>C05</t>
        </is>
      </c>
      <c r="B21" s="7" t="inlineStr">
        <is>
          <t>Solución clásica</t>
        </is>
      </c>
      <c r="C21" s="8" t="inlineStr">
        <is>
          <t>Viga continua de dos tramos iguales con carga uniforme</t>
        </is>
      </c>
      <c r="D21" s="9" t="inlineStr">
        <is>
          <t>Soluciones clásicas de resistencia de materiales y análisis estructural (tablas de vigas, método de pendiente-deflexión, método de los nudos, castigliano)</t>
        </is>
      </c>
      <c r="E21" s="10">
        <f>'Ej C05'!E22</f>
        <v/>
      </c>
      <c r="F21" s="10">
        <f>'Ej C05'!D22</f>
        <v/>
      </c>
      <c r="G21" s="11">
        <f>IF(F21=E21,"VERIFICA","DIFIERE")</f>
        <v/>
      </c>
    </row>
    <row r="22" ht="28" customHeight="1">
      <c r="A22" s="6" t="inlineStr">
        <is>
          <t>C06</t>
        </is>
      </c>
      <c r="B22" s="7" t="inlineStr">
        <is>
          <t>Solución clásica</t>
        </is>
      </c>
      <c r="C22" s="8" t="inlineStr">
        <is>
          <t>Viga empotrada–apoyada con carga uniforme</t>
        </is>
      </c>
      <c r="D22" s="9" t="inlineStr">
        <is>
          <t>Soluciones clásicas de resistencia de materiales y análisis estructural (tablas de vigas, método de pendiente-deflexión, método de los nudos, castigliano)</t>
        </is>
      </c>
      <c r="E22" s="10">
        <f>'Ej C06'!E21</f>
        <v/>
      </c>
      <c r="F22" s="10">
        <f>'Ej C06'!D21</f>
        <v/>
      </c>
      <c r="G22" s="11">
        <f>IF(F22=E22,"VERIFICA","DIFIERE")</f>
        <v/>
      </c>
    </row>
    <row r="23" ht="28" customHeight="1">
      <c r="A23" s="6" t="inlineStr">
        <is>
          <t>C07</t>
        </is>
      </c>
      <c r="B23" s="7" t="inlineStr">
        <is>
          <t>Solución clásica</t>
        </is>
      </c>
      <c r="C23" s="8" t="inlineStr">
        <is>
          <t>Viga Gerber (articulación intermedia)</t>
        </is>
      </c>
      <c r="D23" s="9" t="inlineStr">
        <is>
          <t>Soluciones clásicas de resistencia de materiales y análisis estructural (tablas de vigas, método de pendiente-deflexión, método de los nudos, castigliano)</t>
        </is>
      </c>
      <c r="E23" s="10">
        <f>'Ej C07'!E23</f>
        <v/>
      </c>
      <c r="F23" s="10">
        <f>'Ej C07'!D23</f>
        <v/>
      </c>
      <c r="G23" s="11">
        <f>IF(F23=E23,"VERIFICA","DIFIERE")</f>
        <v/>
      </c>
    </row>
    <row r="24" ht="28" customHeight="1">
      <c r="A24" s="6" t="inlineStr">
        <is>
          <t>C08</t>
        </is>
      </c>
      <c r="B24" s="7" t="inlineStr">
        <is>
          <t>Solución clásica</t>
        </is>
      </c>
      <c r="C24" s="8" t="inlineStr">
        <is>
          <t>Reticulado plano triangular (método de los nudos)</t>
        </is>
      </c>
      <c r="D24" s="9" t="inlineStr">
        <is>
          <t>Soluciones clásicas de resistencia de materiales y análisis estructural (tablas de vigas, método de pendiente-deflexión, método de los nudos, castigliano)</t>
        </is>
      </c>
      <c r="E24" s="10">
        <f>'Ej C08'!E26</f>
        <v/>
      </c>
      <c r="F24" s="10">
        <f>'Ej C08'!D26</f>
        <v/>
      </c>
      <c r="G24" s="11">
        <f>IF(F24=E24,"VERIFICA","DIFIERE")</f>
        <v/>
      </c>
    </row>
    <row r="25" ht="28" customHeight="1">
      <c r="A25" s="6" t="inlineStr">
        <is>
          <t>C09</t>
        </is>
      </c>
      <c r="B25" s="7" t="inlineStr">
        <is>
          <t>Solución clásica</t>
        </is>
      </c>
      <c r="C25" s="8" t="inlineStr">
        <is>
          <t>Reticulado espacial: trípode con carga vertical y horizontal</t>
        </is>
      </c>
      <c r="D25" s="9" t="inlineStr">
        <is>
          <t>Soluciones clásicas de resistencia de materiales y análisis estructural (tablas de vigas, método de pendiente-deflexión, método de los nudos, castigliano)</t>
        </is>
      </c>
      <c r="E25" s="10">
        <f>'Ej C09'!E28</f>
        <v/>
      </c>
      <c r="F25" s="10">
        <f>'Ej C09'!D28</f>
        <v/>
      </c>
      <c r="G25" s="11">
        <f>IF(F25=E25,"VERIFICA","DIFIERE")</f>
        <v/>
      </c>
    </row>
    <row r="26" ht="28" customHeight="1">
      <c r="A26" s="6" t="inlineStr">
        <is>
          <t>C10</t>
        </is>
      </c>
      <c r="B26" s="7" t="inlineStr">
        <is>
          <t>Solución clásica</t>
        </is>
      </c>
      <c r="C26" s="8" t="inlineStr">
        <is>
          <t>Pórtico plano articulado en la base con carga lateral</t>
        </is>
      </c>
      <c r="D26" s="9" t="inlineStr">
        <is>
          <t>Soluciones clásicas de resistencia de materiales y análisis estructural (tablas de vigas, método de pendiente-deflexión, método de los nudos, castigliano)</t>
        </is>
      </c>
      <c r="E26" s="10">
        <f>'Ej C10'!E29</f>
        <v/>
      </c>
      <c r="F26" s="10">
        <f>'Ej C10'!D29</f>
        <v/>
      </c>
      <c r="G26" s="11">
        <f>IF(F26=E26,"VERIFICA","DIFIERE")</f>
        <v/>
      </c>
    </row>
    <row r="27" ht="28" customHeight="1">
      <c r="A27" s="6" t="inlineStr">
        <is>
          <t>C11</t>
        </is>
      </c>
      <c r="B27" s="7" t="inlineStr">
        <is>
          <t>Solución clásica</t>
        </is>
      </c>
      <c r="C27" s="8" t="inlineStr">
        <is>
          <t>Pórtico plano empotrado en la base con carga lateral</t>
        </is>
      </c>
      <c r="D27" s="9" t="inlineStr">
        <is>
          <t>Soluciones clásicas de resistencia de materiales y análisis estructural (tablas de vigas, método de pendiente-deflexión, método de los nudos, castigliano)</t>
        </is>
      </c>
      <c r="E27" s="10">
        <f>'Ej C11'!E31</f>
        <v/>
      </c>
      <c r="F27" s="10">
        <f>'Ej C11'!D31</f>
        <v/>
      </c>
      <c r="G27" s="11">
        <f>IF(F27=E27,"VERIFICA","DIFIERE")</f>
        <v/>
      </c>
    </row>
    <row r="28" ht="28" customHeight="1">
      <c r="A28" s="6" t="inlineStr">
        <is>
          <t>C12</t>
        </is>
      </c>
      <c r="B28" s="7" t="inlineStr">
        <is>
          <t>Solución clásica</t>
        </is>
      </c>
      <c r="C28" s="8" t="inlineStr">
        <is>
          <t>Pórtico plano empotrado con carga uniforme en el dintel</t>
        </is>
      </c>
      <c r="D28" s="9" t="inlineStr">
        <is>
          <t>Soluciones clásicas de resistencia de materiales y análisis estructural (tablas de vigas, método de pendiente-deflexión, método de los nudos, castigliano)</t>
        </is>
      </c>
      <c r="E28" s="10">
        <f>'Ej C12'!E29</f>
        <v/>
      </c>
      <c r="F28" s="10">
        <f>'Ej C12'!D29</f>
        <v/>
      </c>
      <c r="G28" s="11">
        <f>IF(F28=E28,"VERIFICA","DIFIERE")</f>
        <v/>
      </c>
    </row>
    <row r="29" ht="28" customHeight="1">
      <c r="A29" s="6" t="inlineStr">
        <is>
          <t>C13</t>
        </is>
      </c>
      <c r="B29" s="7" t="inlineStr">
        <is>
          <t>Solución clásica</t>
        </is>
      </c>
      <c r="C29" s="8" t="inlineStr">
        <is>
          <t>Ménsula en L en el espacio (flexión + torsión)</t>
        </is>
      </c>
      <c r="D29" s="9" t="inlineStr">
        <is>
          <t>Soluciones clásicas de resistencia de materiales y análisis estructural (tablas de vigas, método de pendiente-deflexión, método de los nudos, castigliano)</t>
        </is>
      </c>
      <c r="E29" s="10">
        <f>'Ej C13'!E27</f>
        <v/>
      </c>
      <c r="F29" s="10">
        <f>'Ej C13'!D27</f>
        <v/>
      </c>
      <c r="G29" s="11">
        <f>IF(F29=E29,"VERIFICA","DIFIERE")</f>
        <v/>
      </c>
    </row>
    <row r="30" ht="28" customHeight="1">
      <c r="A30" s="6" t="inlineStr">
        <is>
          <t>C14</t>
        </is>
      </c>
      <c r="B30" s="7" t="inlineStr">
        <is>
          <t>Solución clásica</t>
        </is>
      </c>
      <c r="C30" s="8" t="inlineStr">
        <is>
          <t>Columna en voladizo con cargas horizontales en los dos ejes</t>
        </is>
      </c>
      <c r="D30" s="9" t="inlineStr">
        <is>
          <t>Soluciones clásicas de resistencia de materiales y análisis estructural (tablas de vigas, método de pendiente-deflexión, método de los nudos, castigliano)</t>
        </is>
      </c>
      <c r="E30" s="10">
        <f>'Ej C14'!E25</f>
        <v/>
      </c>
      <c r="F30" s="10">
        <f>'Ej C14'!D25</f>
        <v/>
      </c>
      <c r="G30" s="11">
        <f>IF(F30=E30,"VERIFICA","DIFIERE")</f>
        <v/>
      </c>
    </row>
    <row r="31" ht="28" customHeight="1">
      <c r="A31" s="6" t="inlineStr">
        <is>
          <t>C15</t>
        </is>
      </c>
      <c r="B31" s="7" t="inlineStr">
        <is>
          <t>Solución clásica</t>
        </is>
      </c>
      <c r="C31" s="8" t="inlineStr">
        <is>
          <t>Barra girada (ángulo β): eje fuerte, débil e inclinado</t>
        </is>
      </c>
      <c r="D31" s="9" t="inlineStr">
        <is>
          <t>Soluciones clásicas de resistencia de materiales y análisis estructural (tablas de vigas, método de pendiente-deflexión, método de los nudos, castigliano)</t>
        </is>
      </c>
      <c r="E31" s="10">
        <f>'Ej C15'!E22</f>
        <v/>
      </c>
      <c r="F31" s="10">
        <f>'Ej C15'!D22</f>
        <v/>
      </c>
      <c r="G31" s="11">
        <f>IF(F31=E31,"VERIFICA","DIFIERE")</f>
        <v/>
      </c>
    </row>
    <row r="32" ht="28" customHeight="1">
      <c r="A32" s="6" t="inlineStr">
        <is>
          <t>C16</t>
        </is>
      </c>
      <c r="B32" s="7" t="inlineStr">
        <is>
          <t>Solución clásica</t>
        </is>
      </c>
      <c r="C32" s="8" t="inlineStr">
        <is>
          <t>Voladizo inclinado 30° con carga vertical</t>
        </is>
      </c>
      <c r="D32" s="9" t="inlineStr">
        <is>
          <t>Soluciones clásicas de resistencia de materiales y análisis estructural (tablas de vigas, método de pendiente-deflexión, método de los nudos, castigliano)</t>
        </is>
      </c>
      <c r="E32" s="10">
        <f>'Ej C16'!E29</f>
        <v/>
      </c>
      <c r="F32" s="10">
        <f>'Ej C16'!D29</f>
        <v/>
      </c>
      <c r="G32" s="11">
        <f>IF(F32=E32,"VERIFICA","DIFIERE")</f>
        <v/>
      </c>
    </row>
    <row r="33" ht="28" customHeight="1">
      <c r="A33" s="6" t="inlineStr">
        <is>
          <t>C17</t>
        </is>
      </c>
      <c r="B33" s="7" t="inlineStr">
        <is>
          <t>Solución clásica</t>
        </is>
      </c>
      <c r="C33" s="8" t="inlineStr">
        <is>
          <t>Peso propio del perfil</t>
        </is>
      </c>
      <c r="D33" s="9" t="inlineStr">
        <is>
          <t>Soluciones clásicas de resistencia de materiales y análisis estructural (tablas de vigas, método de pendiente-deflexión, método de los nudos, castigliano)</t>
        </is>
      </c>
      <c r="E33" s="10">
        <f>'Ej C17'!E21</f>
        <v/>
      </c>
      <c r="F33" s="10">
        <f>'Ej C17'!D21</f>
        <v/>
      </c>
      <c r="G33" s="11">
        <f>IF(F33=E33,"VERIFICA","DIFIERE")</f>
        <v/>
      </c>
    </row>
    <row r="34" ht="28" customHeight="1">
      <c r="A34" s="6" t="inlineStr">
        <is>
          <t>N01</t>
        </is>
      </c>
      <c r="B34" s="7" t="inlineStr">
        <is>
          <t>Solución clásica</t>
        </is>
      </c>
      <c r="C34" s="8" t="inlineStr">
        <is>
          <t>Carga y momento puntuales dentro del tramo (viga biapoyada, plano fuerte y débil)</t>
        </is>
      </c>
      <c r="D34" s="9" t="inlineStr">
        <is>
          <t>Soluciones clásicas: Timoshenko «Resistencia de materiales» y «Theory of Elastic Stability» (Timoshenko &amp; Gere), Roark «Formulas for Stress and Strain», método de pendiente-deflexión, Ghali &amp; Neville «Structural Analysis» (efectos térmicos y asentamientos)</t>
        </is>
      </c>
      <c r="E34" s="10">
        <f>'Ej N01'!E40</f>
        <v/>
      </c>
      <c r="F34" s="10">
        <f>'Ej N01'!D40</f>
        <v/>
      </c>
      <c r="G34" s="11">
        <f>IF(F34=E34,"VERIFICA","DIFIERE")</f>
        <v/>
      </c>
    </row>
    <row r="35" ht="28" customHeight="1">
      <c r="A35" s="6" t="inlineStr">
        <is>
          <t>N02</t>
        </is>
      </c>
      <c r="B35" s="7" t="inlineStr">
        <is>
          <t>Solución clásica</t>
        </is>
      </c>
      <c r="C35" s="8" t="inlineStr">
        <is>
          <t>Carga uniforme parcial (viga biapoyada)</t>
        </is>
      </c>
      <c r="D35" s="9" t="inlineStr">
        <is>
          <t>Soluciones clásicas: Timoshenko «Resistencia de materiales» y «Theory of Elastic Stability» (Timoshenko &amp; Gere), Roark «Formulas for Stress and Strain», método de pendiente-deflexión, Ghali &amp; Neville «Structural Analysis» (efectos térmicos y asentamientos)</t>
        </is>
      </c>
      <c r="E35" s="10">
        <f>'Ej N02'!E33</f>
        <v/>
      </c>
      <c r="F35" s="10">
        <f>'Ej N02'!D33</f>
        <v/>
      </c>
      <c r="G35" s="11">
        <f>IF(F35=E35,"VERIFICA","DIFIERE")</f>
        <v/>
      </c>
    </row>
    <row r="36" ht="28" customHeight="1">
      <c r="A36" s="6" t="inlineStr">
        <is>
          <t>N03</t>
        </is>
      </c>
      <c r="B36" s="7" t="inlineStr">
        <is>
          <t>Solución clásica</t>
        </is>
      </c>
      <c r="C36" s="8" t="inlineStr">
        <is>
          <t>Carga trapezoidal sobre toda la luz (uniforme + triangular)</t>
        </is>
      </c>
      <c r="D36" s="9" t="inlineStr">
        <is>
          <t>Soluciones clásicas: Timoshenko «Resistencia de materiales» y «Theory of Elastic Stability» (Timoshenko &amp; Gere), Roark «Formulas for Stress and Strain», método de pendiente-deflexión, Ghali &amp; Neville «Structural Analysis» (efectos térmicos y asentamientos)</t>
        </is>
      </c>
      <c r="E36" s="10">
        <f>'Ej N03'!E27</f>
        <v/>
      </c>
      <c r="F36" s="10">
        <f>'Ej N03'!D27</f>
        <v/>
      </c>
      <c r="G36" s="11">
        <f>IF(F36=E36,"VERIFICA","DIFIERE")</f>
        <v/>
      </c>
    </row>
    <row r="37" ht="28" customHeight="1">
      <c r="A37" s="6" t="inlineStr">
        <is>
          <t>N04</t>
        </is>
      </c>
      <c r="B37" s="7" t="inlineStr">
        <is>
          <t>Solución clásica</t>
        </is>
      </c>
      <c r="C37" s="8" t="inlineStr">
        <is>
          <t>Temperatura: variación uniforme y gradiente en el canto</t>
        </is>
      </c>
      <c r="D37" s="9" t="inlineStr">
        <is>
          <t>Soluciones clásicas: Timoshenko «Resistencia de materiales» y «Theory of Elastic Stability» (Timoshenko &amp; Gere), Roark «Formulas for Stress and Strain», método de pendiente-deflexión, Ghali &amp; Neville «Structural Analysis» (efectos térmicos y asentamientos)</t>
        </is>
      </c>
      <c r="E37" s="10">
        <f>'Ej N04'!E30</f>
        <v/>
      </c>
      <c r="F37" s="10">
        <f>'Ej N04'!D30</f>
        <v/>
      </c>
      <c r="G37" s="11">
        <f>IF(F37=E37,"VERIFICA","DIFIERE")</f>
        <v/>
      </c>
    </row>
    <row r="38" ht="28" customHeight="1">
      <c r="A38" s="6" t="inlineStr">
        <is>
          <t>N05</t>
        </is>
      </c>
      <c r="B38" s="7" t="inlineStr">
        <is>
          <t>Solución clásica</t>
        </is>
      </c>
      <c r="C38" s="8" t="inlineStr">
        <is>
          <t>Apoyos elásticos: resorte vertical y resorte de giro</t>
        </is>
      </c>
      <c r="D38" s="9" t="inlineStr">
        <is>
          <t>Soluciones clásicas: Timoshenko «Resistencia de materiales» y «Theory of Elastic Stability» (Timoshenko &amp; Gere), Roark «Formulas for Stress and Strain», método de pendiente-deflexión, Ghali &amp; Neville «Structural Analysis» (efectos térmicos y asentamientos)</t>
        </is>
      </c>
      <c r="E38" s="10">
        <f>'Ej N05'!E36</f>
        <v/>
      </c>
      <c r="F38" s="10">
        <f>'Ej N05'!D36</f>
        <v/>
      </c>
      <c r="G38" s="11">
        <f>IF(F38=E38,"VERIFICA","DIFIERE")</f>
        <v/>
      </c>
    </row>
    <row r="39" ht="28" customHeight="1">
      <c r="A39" s="6" t="inlineStr">
        <is>
          <t>N06</t>
        </is>
      </c>
      <c r="B39" s="7" t="inlineStr">
        <is>
          <t>Solución clásica</t>
        </is>
      </c>
      <c r="C39" s="8" t="inlineStr">
        <is>
          <t>Asentamientos impuestos de apoyo</t>
        </is>
      </c>
      <c r="D39" s="9" t="inlineStr">
        <is>
          <t>Soluciones clásicas: Timoshenko «Resistencia de materiales» y «Theory of Elastic Stability» (Timoshenko &amp; Gere), Roark «Formulas for Stress and Strain», método de pendiente-deflexión, Ghali &amp; Neville «Structural Analysis» (efectos térmicos y asentamientos)</t>
        </is>
      </c>
      <c r="E39" s="10">
        <f>'Ej N06'!E39</f>
        <v/>
      </c>
      <c r="F39" s="10">
        <f>'Ej N06'!D39</f>
        <v/>
      </c>
      <c r="G39" s="11">
        <f>IF(F39=E39,"VERIFICA","DIFIERE")</f>
        <v/>
      </c>
    </row>
    <row r="40" ht="28" customHeight="1">
      <c r="A40" s="6" t="inlineStr">
        <is>
          <t>N07</t>
        </is>
      </c>
      <c r="B40" s="7" t="inlineStr">
        <is>
          <t>Solución clásica</t>
        </is>
      </c>
      <c r="C40" s="8" t="inlineStr">
        <is>
          <t>Uniones semirrígidas (resorte de giro en el extremo de la barra)</t>
        </is>
      </c>
      <c r="D40" s="9" t="inlineStr">
        <is>
          <t>Soluciones clásicas: Timoshenko «Resistencia de materiales» y «Theory of Elastic Stability» (Timoshenko &amp; Gere), Roark «Formulas for Stress and Strain», método de pendiente-deflexión, Ghali &amp; Neville «Structural Analysis» (efectos térmicos y asentamientos)</t>
        </is>
      </c>
      <c r="E40" s="10">
        <f>'Ej N07'!E33</f>
        <v/>
      </c>
      <c r="F40" s="10">
        <f>'Ej N07'!D33</f>
        <v/>
      </c>
      <c r="G40" s="11">
        <f>IF(F40=E40,"VERIFICA","DIFIERE")</f>
        <v/>
      </c>
    </row>
    <row r="41" ht="28" customHeight="1">
      <c r="A41" s="6" t="inlineStr">
        <is>
          <t>N08</t>
        </is>
      </c>
      <c r="B41" s="7" t="inlineStr">
        <is>
          <t>Solución clásica</t>
        </is>
      </c>
      <c r="C41" s="8" t="inlineStr">
        <is>
          <t>Deformación por corte (Timoshenko): voladizo y viga corta</t>
        </is>
      </c>
      <c r="D41" s="9" t="inlineStr">
        <is>
          <t>Soluciones clásicas: Timoshenko «Resistencia de materiales» y «Theory of Elastic Stability» (Timoshenko &amp; Gere), Roark «Formulas for Stress and Strain», método de pendiente-deflexión, Ghali &amp; Neville «Structural Analysis» (efectos térmicos y asentamientos)</t>
        </is>
      </c>
      <c r="E41" s="10">
        <f>'Ej N08'!E26</f>
        <v/>
      </c>
      <c r="F41" s="10">
        <f>'Ej N08'!D26</f>
        <v/>
      </c>
      <c r="G41" s="11">
        <f>IF(F41=E41,"VERIFICA","DIFIERE")</f>
        <v/>
      </c>
    </row>
    <row r="42" ht="28" customHeight="1">
      <c r="A42" s="6" t="inlineStr">
        <is>
          <t>N10</t>
        </is>
      </c>
      <c r="B42" s="7" t="inlineStr">
        <is>
          <t>Solución clásica</t>
        </is>
      </c>
      <c r="C42" s="8" t="inlineStr">
        <is>
          <t>Propiedades de secciones armadas: PS soldada, perfil + platabanda y cajón</t>
        </is>
      </c>
      <c r="D42" s="9" t="inlineStr">
        <is>
          <t>Soluciones clásicas: Timoshenko «Resistencia de materiales» y «Theory of Elastic Stability» (Timoshenko &amp; Gere), Roark «Formulas for Stress and Strain», método de pendiente-deflexión, Ghali &amp; Neville «Structural Analysis» (efectos térmicos y asentamientos)</t>
        </is>
      </c>
      <c r="E42" s="10">
        <f>'Ej N10'!E55</f>
        <v/>
      </c>
      <c r="F42" s="10">
        <f>'Ej N10'!D55</f>
        <v/>
      </c>
      <c r="G42" s="11">
        <f>IF(F42=E42,"VERIFICA","DIFIERE")</f>
        <v/>
      </c>
    </row>
    <row r="43" ht="28" customHeight="1">
      <c r="A43" s="6" t="inlineStr">
        <is>
          <t>N13</t>
        </is>
      </c>
      <c r="B43" s="7" t="inlineStr">
        <is>
          <t>Solución clásica</t>
        </is>
      </c>
      <c r="C43" s="8" t="inlineStr">
        <is>
          <t>Segundo orden: voladizo y viga biapoyada comprimidos (solución exacta de la viga-columna)</t>
        </is>
      </c>
      <c r="D43" s="9" t="inlineStr">
        <is>
          <t>Soluciones clásicas: Timoshenko «Resistencia de materiales» y «Theory of Elastic Stability» (Timoshenko &amp; Gere), Roark «Formulas for Stress and Strain», método de pendiente-deflexión, Ghali &amp; Neville «Structural Analysis» (efectos térmicos y asentamientos)</t>
        </is>
      </c>
      <c r="E43" s="10">
        <f>'Ej N13'!E43</f>
        <v/>
      </c>
      <c r="F43" s="10">
        <f>'Ej N13'!D43</f>
        <v/>
      </c>
      <c r="G43" s="11">
        <f>IF(F43=E43,"VERIFICA","DIFIERE")</f>
        <v/>
      </c>
    </row>
    <row r="44" ht="28" customHeight="1">
      <c r="A44" s="6" t="inlineStr">
        <is>
          <t>N15</t>
        </is>
      </c>
      <c r="B44" s="7" t="inlineStr">
        <is>
          <t>Solución clásica</t>
        </is>
      </c>
      <c r="C44" s="8" t="inlineStr">
        <is>
          <t>Segundo orden con deformación por corte: viga-columna corta de Timoshenko</t>
        </is>
      </c>
      <c r="D44" s="9" t="inlineStr">
        <is>
          <t>Soluciones clásicas: Timoshenko «Resistencia de materiales» y «Theory of Elastic Stability» (Timoshenko &amp; Gere), Roark «Formulas for Stress and Strain», método de pendiente-deflexión, Ghali &amp; Neville «Structural Analysis» (efectos térmicos y asentamientos)</t>
        </is>
      </c>
      <c r="E44" s="10">
        <f>'Ej N15'!E34</f>
        <v/>
      </c>
      <c r="F44" s="10">
        <f>'Ej N15'!D34</f>
        <v/>
      </c>
      <c r="G44" s="11">
        <f>IF(F44=E44,"VERIFICA","DIFIERE")</f>
        <v/>
      </c>
    </row>
    <row r="45" ht="28" customHeight="1">
      <c r="A45" s="6" t="inlineStr">
        <is>
          <t>N16</t>
        </is>
      </c>
      <c r="B45" s="7" t="inlineStr">
        <is>
          <t>Solución clásica</t>
        </is>
      </c>
      <c r="C45" s="8" t="inlineStr">
        <is>
          <t>Pórtico plano empotrado con P-Δ: contraste con PyNite FEA 3.2</t>
        </is>
      </c>
      <c r="D45" s="9" t="inlineStr">
        <is>
          <t>Contraste con PyNite FEA 3.2.0 (análisis P-Δ iterativo, cada columna dividida en 16 elementos). Los números son los que entregó PyNite al correr el mismo pórtico; no hay solución cerrada.</t>
        </is>
      </c>
      <c r="E45" s="10">
        <f>'Ej N16'!E27</f>
        <v/>
      </c>
      <c r="F45" s="10">
        <f>'Ej N16'!D27</f>
        <v/>
      </c>
      <c r="G45" s="11">
        <f>IF(F45=E45,"VERIFICA","DIFIERE")</f>
        <v/>
      </c>
    </row>
    <row r="46" ht="28" customHeight="1">
      <c r="A46" s="6" t="inlineStr">
        <is>
          <t>F01</t>
        </is>
      </c>
      <c r="B46" s="7" t="inlineStr">
        <is>
          <t>Fórmulas del Reglamento</t>
        </is>
      </c>
      <c r="C46" s="8" t="inlineStr">
        <is>
          <t>Compresión: columnas IPE 200 con distintas longitudes efectivas por eje</t>
        </is>
      </c>
      <c r="D46" s="9" t="inlineStr">
        <is>
          <t>Fórmulas del Reglamento CIRSOC 301-2005 (capítulos D, E, F, H) recalculadas aparte; no provienen de un ejemplo publicado</t>
        </is>
      </c>
      <c r="E46" s="10">
        <f>'Ej F01'!E65</f>
        <v/>
      </c>
      <c r="F46" s="10">
        <f>'Ej F01'!D65</f>
        <v/>
      </c>
      <c r="G46" s="11">
        <f>IF(F46=E46,"VERIFICA","DIFIERE")</f>
        <v/>
      </c>
    </row>
    <row r="47" ht="28" customHeight="1">
      <c r="A47" s="6" t="inlineStr">
        <is>
          <t>F02</t>
        </is>
      </c>
      <c r="B47" s="7" t="inlineStr">
        <is>
          <t>Fórmulas del Reglamento</t>
        </is>
      </c>
      <c r="C47" s="8" t="inlineStr">
        <is>
          <t>Flexión con pandeo lateral-torsional: IPE 300 en los tres regímenes</t>
        </is>
      </c>
      <c r="D47" s="9" t="inlineStr">
        <is>
          <t>Fórmulas del Reglamento CIRSOC 301-2005 (capítulos D, E, F, H) recalculadas aparte; no provienen de un ejemplo publicado</t>
        </is>
      </c>
      <c r="E47" s="10">
        <f>'Ej F02'!E64</f>
        <v/>
      </c>
      <c r="F47" s="10">
        <f>'Ej F02'!D64</f>
        <v/>
      </c>
      <c r="G47" s="11">
        <f>IF(F47=E47,"VERIFICA","DIFIERE")</f>
        <v/>
      </c>
    </row>
    <row r="48" ht="28" customHeight="1">
      <c r="A48" s="6" t="inlineStr">
        <is>
          <t>F03</t>
        </is>
      </c>
      <c r="B48" s="7" t="inlineStr">
        <is>
          <t>Fórmulas del Reglamento</t>
        </is>
      </c>
      <c r="C48" s="8" t="inlineStr">
        <is>
          <t>Flexocompresión biaxial: ecuaciones de interacción H1-1a y H1-1b</t>
        </is>
      </c>
      <c r="D48" s="9" t="inlineStr">
        <is>
          <t>Fórmulas del Reglamento CIRSOC 301-2005 (capítulos D, E, F, H) recalculadas aparte; no provienen de un ejemplo publicado</t>
        </is>
      </c>
      <c r="E48" s="10">
        <f>'Ej F03'!E70</f>
        <v/>
      </c>
      <c r="F48" s="10">
        <f>'Ej F03'!D70</f>
        <v/>
      </c>
      <c r="G48" s="11">
        <f>IF(F48=E48,"VERIFICA","DIFIERE")</f>
        <v/>
      </c>
    </row>
    <row r="49" ht="28" customHeight="1">
      <c r="A49" s="6" t="inlineStr">
        <is>
          <t>N09</t>
        </is>
      </c>
      <c r="B49" s="7" t="inlineStr">
        <is>
          <t>Fórmulas del Reglamento</t>
        </is>
      </c>
      <c r="C49" s="8" t="inlineStr">
        <is>
          <t>Cb a partir del diagrama de momentos real (LRFD-99 F1-3)</t>
        </is>
      </c>
      <c r="D49" s="9" t="inlineStr">
        <is>
          <t>Fórmulas del Reglamento CIRSOC 301-2005 / AISC-LRFD 1999 (apéndice B, caps. E y F) recalculadas aparte; no provienen de un ejemplo publicado. Las constantes están escritas de memoria: cotejarlas con el texto del Reglamento antes de usar el resultado para proyecto.</t>
        </is>
      </c>
      <c r="E49" s="10">
        <f>'Ej N09'!E56</f>
        <v/>
      </c>
      <c r="F49" s="10">
        <f>'Ej N09'!D56</f>
        <v/>
      </c>
      <c r="G49" s="11">
        <f>IF(F49=E49,"VERIFICA","DIFIERE")</f>
        <v/>
      </c>
    </row>
    <row r="50" ht="28" customHeight="1">
      <c r="A50" s="6" t="inlineStr">
        <is>
          <t>N11</t>
        </is>
      </c>
      <c r="B50" s="7" t="inlineStr">
        <is>
          <t>Fórmulas del Reglamento</t>
        </is>
      </c>
      <c r="C50" s="8" t="inlineStr">
        <is>
          <t>Pandeo local en compresión: columna soldada con alas esbeltas (factor Qs)</t>
        </is>
      </c>
      <c r="D50" s="9" t="inlineStr">
        <is>
          <t>Fórmulas del Reglamento CIRSOC 301-2005 / AISC-LRFD 1999 (apéndice B, caps. E y F) recalculadas aparte; no provienen de un ejemplo publicado. Las constantes están escritas de memoria: cotejarlas con el texto del Reglamento antes de usar el resultado para proyecto.</t>
        </is>
      </c>
      <c r="E50" s="10">
        <f>'Ej N11'!E53</f>
        <v/>
      </c>
      <c r="F50" s="10">
        <f>'Ej N11'!D53</f>
        <v/>
      </c>
      <c r="G50" s="11">
        <f>IF(F50=E50,"VERIFICA","DIFIERE")</f>
        <v/>
      </c>
    </row>
    <row r="51" ht="28" customHeight="1">
      <c r="A51" s="6" t="inlineStr">
        <is>
          <t>N12</t>
        </is>
      </c>
      <c r="B51" s="7" t="inlineStr">
        <is>
          <t>Fórmulas del Reglamento</t>
        </is>
      </c>
      <c r="C51" s="8" t="inlineStr">
        <is>
          <t>Flexión de viga soldada: ala no compacta y pandeo lateral-torsional</t>
        </is>
      </c>
      <c r="D51" s="9" t="inlineStr">
        <is>
          <t>Fórmulas del Reglamento CIRSOC 301-2005 / AISC-LRFD 1999 (apéndice B, caps. E y F) recalculadas aparte; no provienen de un ejemplo publicado. Las constantes están escritas de memoria: cotejarlas con el texto del Reglamento antes de usar el resultado para proyecto.</t>
        </is>
      </c>
      <c r="E51" s="10">
        <f>'Ej N12'!E62</f>
        <v/>
      </c>
      <c r="F51" s="10">
        <f>'Ej N12'!D62</f>
        <v/>
      </c>
      <c r="G51" s="11">
        <f>IF(F51=E51,"VERIFICA","DIFIERE")</f>
        <v/>
      </c>
    </row>
    <row r="52" ht="28" customHeight="1">
      <c r="A52" s="6" t="inlineStr">
        <is>
          <t>N14</t>
        </is>
      </c>
      <c r="B52" s="7" t="inlineStr">
        <is>
          <t>Fórmulas del Reglamento</t>
        </is>
      </c>
      <c r="C52" s="8" t="inlineStr">
        <is>
          <t>Combinaciones de acciones con 0,9D, nieve, viento y sismo (once acciones)</t>
        </is>
      </c>
      <c r="D52" s="9" t="inlineStr">
        <is>
          <t>Combinaciones de acciones del CIRSOC 301-2005 (A.4.1) y AISC-LRFD 1999 (A4-1 a A4-6); los factores se cargan en el ejercicio, no se toman del reglamento</t>
        </is>
      </c>
      <c r="E52" s="10">
        <f>'Ej N14'!E32</f>
        <v/>
      </c>
      <c r="F52" s="10">
        <f>'Ej N14'!D32</f>
        <v/>
      </c>
      <c r="G52" s="11">
        <f>IF(F52=E52,"VERIFICA","DIFIERE")</f>
        <v/>
      </c>
    </row>
  </sheetData>
  <conditionalFormatting sqref="G8:G52">
    <cfRule type="cellIs" priority="1" operator="equal" dxfId="0">
      <formula>"VERIFICA"</formula>
    </cfRule>
    <cfRule type="cellIs" priority="2" operator="equal" dxfId="1">
      <formula>"DIFIERE"</formula>
    </cfRule>
  </conditionalFormatting>
  <hyperlinks>
    <hyperlink xmlns:r="http://schemas.openxmlformats.org/officeDocument/2006/relationships" ref="A8" r:id="rId1"/>
    <hyperlink xmlns:r="http://schemas.openxmlformats.org/officeDocument/2006/relationships" ref="A9" r:id="rId2"/>
    <hyperlink xmlns:r="http://schemas.openxmlformats.org/officeDocument/2006/relationships" ref="A10" r:id="rId3"/>
    <hyperlink xmlns:r="http://schemas.openxmlformats.org/officeDocument/2006/relationships" ref="A11" r:id="rId4"/>
    <hyperlink xmlns:r="http://schemas.openxmlformats.org/officeDocument/2006/relationships" ref="A12" r:id="rId5"/>
    <hyperlink xmlns:r="http://schemas.openxmlformats.org/officeDocument/2006/relationships" ref="A13" r:id="rId6"/>
    <hyperlink xmlns:r="http://schemas.openxmlformats.org/officeDocument/2006/relationships" ref="A14" r:id="rId7"/>
    <hyperlink xmlns:r="http://schemas.openxmlformats.org/officeDocument/2006/relationships" ref="A15" r:id="rId8"/>
    <hyperlink xmlns:r="http://schemas.openxmlformats.org/officeDocument/2006/relationships" ref="A16" r:id="rId9"/>
    <hyperlink xmlns:r="http://schemas.openxmlformats.org/officeDocument/2006/relationships" ref="A17" r:id="rId10"/>
    <hyperlink xmlns:r="http://schemas.openxmlformats.org/officeDocument/2006/relationships" ref="A18" r:id="rId11"/>
    <hyperlink xmlns:r="http://schemas.openxmlformats.org/officeDocument/2006/relationships" ref="A19" r:id="rId12"/>
    <hyperlink xmlns:r="http://schemas.openxmlformats.org/officeDocument/2006/relationships" ref="A20" r:id="rId13"/>
    <hyperlink xmlns:r="http://schemas.openxmlformats.org/officeDocument/2006/relationships" ref="A21" r:id="rId14"/>
    <hyperlink xmlns:r="http://schemas.openxmlformats.org/officeDocument/2006/relationships" ref="A22" r:id="rId15"/>
    <hyperlink xmlns:r="http://schemas.openxmlformats.org/officeDocument/2006/relationships" ref="A23" r:id="rId16"/>
    <hyperlink xmlns:r="http://schemas.openxmlformats.org/officeDocument/2006/relationships" ref="A24" r:id="rId17"/>
    <hyperlink xmlns:r="http://schemas.openxmlformats.org/officeDocument/2006/relationships" ref="A25" r:id="rId18"/>
    <hyperlink xmlns:r="http://schemas.openxmlformats.org/officeDocument/2006/relationships" ref="A26" r:id="rId19"/>
    <hyperlink xmlns:r="http://schemas.openxmlformats.org/officeDocument/2006/relationships" ref="A27" r:id="rId20"/>
    <hyperlink xmlns:r="http://schemas.openxmlformats.org/officeDocument/2006/relationships" ref="A28" r:id="rId21"/>
    <hyperlink xmlns:r="http://schemas.openxmlformats.org/officeDocument/2006/relationships" ref="A29" r:id="rId22"/>
    <hyperlink xmlns:r="http://schemas.openxmlformats.org/officeDocument/2006/relationships" ref="A30" r:id="rId23"/>
    <hyperlink xmlns:r="http://schemas.openxmlformats.org/officeDocument/2006/relationships" ref="A31" r:id="rId24"/>
    <hyperlink xmlns:r="http://schemas.openxmlformats.org/officeDocument/2006/relationships" ref="A32" r:id="rId25"/>
    <hyperlink xmlns:r="http://schemas.openxmlformats.org/officeDocument/2006/relationships" ref="A33" r:id="rId26"/>
    <hyperlink xmlns:r="http://schemas.openxmlformats.org/officeDocument/2006/relationships" ref="A34" r:id="rId27"/>
    <hyperlink xmlns:r="http://schemas.openxmlformats.org/officeDocument/2006/relationships" ref="A35" r:id="rId28"/>
    <hyperlink xmlns:r="http://schemas.openxmlformats.org/officeDocument/2006/relationships" ref="A36" r:id="rId29"/>
    <hyperlink xmlns:r="http://schemas.openxmlformats.org/officeDocument/2006/relationships" ref="A37" r:id="rId30"/>
    <hyperlink xmlns:r="http://schemas.openxmlformats.org/officeDocument/2006/relationships" ref="A38" r:id="rId31"/>
    <hyperlink xmlns:r="http://schemas.openxmlformats.org/officeDocument/2006/relationships" ref="A39" r:id="rId32"/>
    <hyperlink xmlns:r="http://schemas.openxmlformats.org/officeDocument/2006/relationships" ref="A40" r:id="rId33"/>
    <hyperlink xmlns:r="http://schemas.openxmlformats.org/officeDocument/2006/relationships" ref="A41" r:id="rId34"/>
    <hyperlink xmlns:r="http://schemas.openxmlformats.org/officeDocument/2006/relationships" ref="A42" r:id="rId35"/>
    <hyperlink xmlns:r="http://schemas.openxmlformats.org/officeDocument/2006/relationships" ref="A43" r:id="rId36"/>
    <hyperlink xmlns:r="http://schemas.openxmlformats.org/officeDocument/2006/relationships" ref="A44" r:id="rId37"/>
    <hyperlink xmlns:r="http://schemas.openxmlformats.org/officeDocument/2006/relationships" ref="A45" r:id="rId38"/>
    <hyperlink xmlns:r="http://schemas.openxmlformats.org/officeDocument/2006/relationships" ref="A46" r:id="rId39"/>
    <hyperlink xmlns:r="http://schemas.openxmlformats.org/officeDocument/2006/relationships" ref="A47" r:id="rId40"/>
    <hyperlink xmlns:r="http://schemas.openxmlformats.org/officeDocument/2006/relationships" ref="A48" r:id="rId41"/>
    <hyperlink xmlns:r="http://schemas.openxmlformats.org/officeDocument/2006/relationships" ref="A49" r:id="rId42"/>
    <hyperlink xmlns:r="http://schemas.openxmlformats.org/officeDocument/2006/relationships" ref="A50" r:id="rId43"/>
    <hyperlink xmlns:r="http://schemas.openxmlformats.org/officeDocument/2006/relationships" ref="A51" r:id="rId44"/>
    <hyperlink xmlns:r="http://schemas.openxmlformats.org/officeDocument/2006/relationships" ref="A52" r:id="rId45"/>
  </hyperlink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B74"/>
  <sheetViews>
    <sheetView showGridLines="0" workbookViewId="0">
      <selection activeCell="A1" sqref="A1"/>
    </sheetView>
  </sheetViews>
  <sheetFormatPr baseColWidth="8" defaultRowHeight="15"/>
  <cols>
    <col width="34" customWidth="1" min="1" max="1"/>
    <col width="120" customWidth="1" min="2" max="2"/>
  </cols>
  <sheetData>
    <row r="1">
      <c r="A1" s="1" t="inlineStr">
        <is>
          <t>Notas, alcance y límites de la verificación</t>
        </is>
      </c>
    </row>
    <row r="3">
      <c r="A3" s="12" t="inlineStr">
        <is>
          <t>Cómo leer este informe</t>
        </is>
      </c>
      <c r="B3" s="13" t="n"/>
    </row>
    <row r="4" ht="52.8" customHeight="1">
      <c r="A4" s="14" t="inlineStr">
        <is>
          <t>Qué se compara</t>
        </is>
      </c>
      <c r="B4" s="14" t="inlineStr">
        <is>
          <t>Cada ejercicio se arma en el programa (nudos, barras, cargas y combinaciones), se calcula con el mismo motor de la app y se compara el resultado con (a) un número impreso en un libro o apunte, o (b) una fórmula cerrada que se escribe en la hoja con sintaxis de Excel. La columna «Programa» pega el valor que dio la app; la columna «Teoría» es una fórmula viva que se recalcula si cambiás los datos.</t>
        </is>
      </c>
    </row>
    <row r="5" ht="39.59999999999999" customHeight="1">
      <c r="A5" s="14" t="inlineStr">
        <is>
          <t>Tolerancias</t>
        </is>
      </c>
      <c r="B5" s="14" t="inlineStr">
        <is>
          <t>Se fijaron según el origen de la teoría: 0,01 % para fórmulas exactas (el único error es el redondeo numérico), 0,1 a 0,5 % cuando el libro redondea sus cifras, y 1,5 a 2 % donde la fuente es una aproximación (por ejemplo el momento plástico con el Zx de tabla). Están en las columnas «Tol.» y se pueden cambiar.</t>
        </is>
      </c>
    </row>
    <row r="6" ht="26.4" customHeight="1">
      <c r="A6" s="14" t="inlineStr">
        <is>
          <t>Colores</t>
        </is>
      </c>
      <c r="B6" s="14" t="inlineStr">
        <is>
          <t>Azul sobre fondo amarillo: dato ingresado o valor entregado por el programa. Negro: fórmula de Excel. «Publicado» marca las filas cuyo número está impreso en la fuente; «Fórmula» las que se obtienen de una expresión cerrada.</t>
        </is>
      </c>
    </row>
    <row r="7" ht="26.4" customHeight="1">
      <c r="A7" s="14" t="inlineStr">
        <is>
          <t>Dónde reproducirlo</t>
        </is>
      </c>
      <c r="B7" s="14" t="inlineStr">
        <is>
          <t>En la app, botón «Ejercicios» (barra superior): lista los 45 ejercicios con su estado, permite cargar cada uno en el lienzo, calcularlo y ver la comparación en la pestaña «Verificación», y volver a correr todo.</t>
        </is>
      </c>
    </row>
    <row r="9">
      <c r="A9" s="12" t="inlineStr">
        <is>
          <t>Fuentes con resultado publicado</t>
        </is>
      </c>
      <c r="B9" s="13" t="n"/>
    </row>
    <row r="10" ht="39.59999999999999" customHeight="1">
      <c r="A10" s="15" t="inlineStr">
        <is>
          <t>Prof. R. Austin, Univ. de Maryland — ENCE 353, «Direct Stiffness Method»</t>
        </is>
      </c>
      <c r="B10" s="16" t="inlineStr">
        <is>
          <t>https://user.eng.umd.edu/~austin/ence353.d/lecture-material2025/direct-stiffness-method.pdf</t>
        </is>
      </c>
    </row>
    <row r="11" ht="26.4" customHeight="1">
      <c r="A11" s="14" t="inlineStr"/>
      <c r="B11" s="14" t="inlineStr">
        <is>
          <t>Tres cerchas planas (A01–A03). Los desplazamientos y axiles publicados coinciden con el programa hasta el redondeo de la fuente.</t>
        </is>
      </c>
    </row>
    <row r="12" ht="26.4" customHeight="1">
      <c r="A12" s="15" t="inlineStr">
        <is>
          <t>Univ. de Memphis — CIVL 7117, capítulo 5b (emparrillado)</t>
        </is>
      </c>
      <c r="B12" s="16" t="inlineStr">
        <is>
          <t>https://www.ce.memphis.edu/7117/notes/presentations/chapter_05b.pdf</t>
        </is>
      </c>
    </row>
    <row r="13" ht="26.4" customHeight="1">
      <c r="A13" s="14" t="inlineStr"/>
      <c r="B13" s="14" t="inlineStr">
        <is>
          <t>Emparrillado en L con flexión y torsión (A04). La fuente redondea (torsor 1,50 kN·m; la solución exacta es 1,646). Se agregaron filas con la solución exacta deducida por compatibilidad y verificada con PyNite.</t>
        </is>
      </c>
    </row>
    <row r="14" ht="39.59999999999999" customHeight="1">
      <c r="A14" s="15" t="inlineStr">
        <is>
          <t>INTI-CIRSOC — Ejemplos de aplicación del Reglamento CIRSOC 301-EL</t>
        </is>
      </c>
      <c r="B14" s="16" t="inlineStr">
        <is>
          <t>https://www.inti.gob.ar/assets/uploads/files/cirsoc/EJEMPLOS%202/EJEMPLOS%202.2/1_%20ejemplos_301.pdf</t>
        </is>
      </c>
    </row>
    <row r="15" ht="26.4" customHeight="1">
      <c r="A15" s="14" t="inlineStr"/>
      <c r="B15" s="14" t="inlineStr">
        <is>
          <t>Ejemplos 4 (barra traccionada IPB 120, φtPn = 719 kN), 5 (viga IPE 500 de 16 m, Mu = 332,8 kN·m, Vu = 41,6 kN) y 6 (viga PNI 300, Mu = 275 kN·m, φbMp = 161,16 kN·m): A05–A07.</t>
        </is>
      </c>
    </row>
    <row r="16" ht="39.59999999999999" customHeight="1">
      <c r="A16" s="15" t="inlineStr">
        <is>
          <t>Michigan State Univ. — CE 405 «Design of Steel Structures», cap. 3</t>
        </is>
      </c>
      <c r="B16" s="16" t="inlineStr">
        <is>
          <t>https://www.egr.msu.edu/~harichan/classes/ce405/chap3.pdf</t>
        </is>
      </c>
    </row>
    <row r="17" ht="26.4" customHeight="1">
      <c r="A17" s="14" t="inlineStr"/>
      <c r="B17" s="14" t="inlineStr">
        <is>
          <t>Ejemplos 3.2 (W14×74, φcPn = 408 kip) y 3.4 (W14×132, φcPn ≈ 1 300 kip), con el método AISC-LRFD 1999 (φc = 0,85, parámetro λc) en que se basa el CIRSOC 301-2005: A08 y A09.</t>
        </is>
      </c>
    </row>
    <row r="18" ht="132" customHeight="1">
      <c r="A18" s="14" t="inlineStr">
        <is>
          <t>Funciones nuevas de la versión 2 (N01–N15)</t>
        </is>
      </c>
      <c r="B18" s="14" t="inlineStr">
        <is>
          <t>Soluciones cerradas de la teoría de vigas: viga-columna de Timoshenko &amp; Gere («Theory of Elastic Stability»: tan kL, sec u, carga crítica de Engesser con corte), resistencia de materiales de Timoshenko y Roark (cargas puntuales, parciales, triangulares, momentos puntuales, deformación por corte), pendiente-deflexión con resortes de giro (Monforton &amp; Wu), y Ghali &amp; Neville («Structural Analysis») para temperatura y asentamientos. Las fórmulas se escribieron de memoria como resultados estándar y no se transcribieron de una página concreta: que coincidan con el programa a ~1e-8 sólo ocurre si las dos derivaciones (la del elemento exacto y la fórmula cerrada) son correctas. N16 es un contraste con otro programa (PyNite FEA 3.2, análisis P-Δ con las columnas divididas en 16 elementos) sobre un pórtico plano con 800 kN por columna: el desplazamiento horizontal de segundo orden (5,8115 mm, +13 % sobre el primer orden) coincide en 4 decimales y los momentos de base difieren ≈0,002 %; el descenso vertical difiere 0,07 % porque el elemento exacto no incluye el acortamiento por arqueo.</t>
        </is>
      </c>
    </row>
    <row r="19" ht="39.59999999999999" customHeight="1">
      <c r="A19" s="14" t="inlineStr">
        <is>
          <t>Límite de N15</t>
        </is>
      </c>
      <c r="B19" s="14" t="inlineStr">
        <is>
          <t>El momento máximo con deformación por corte se dedujo de la misma ecuación diferencial que usa el elemento (M″ + κM = r·w); confirma la implementación numérica pero no es una fuente independiente. Sí es independiente y clásica la carga crítica Pcr = Pe/(1 + Pe/G·As), con la que la fórmula es coherente.</t>
        </is>
      </c>
    </row>
    <row r="20" ht="66" customHeight="1">
      <c r="A20" s="14" t="inlineStr">
        <is>
          <t>Constantes escritas de memoria</t>
        </is>
      </c>
      <c r="B20" s="14" t="inlineStr">
        <is>
          <t>En N09, N11 y N12 (marcados «Fórmulas del Reglamento») las constantes del LRFD-99 / CIRSOC 301-2005 se escribieron de memoria: tope Cb ≤ 2,3; λp = 0,38√(E/Fy); λr = 0,95√(kc·E/FL) y FL = Fy − 114 MPa para perfiles soldados; límite 0,64√(kc·E/Fy) y Qs = 1,415 − 0,65·λ·√(Fy/E)/√kc en compresión; kc = 4/√(h/tw). El ejercicio detecta que el programa las aplique como están escritas, pero NO garantiza que coincidan con el texto del Reglamento: hay que cotejarlas con el CIRSOC 301-2005 antes de usar el resultado en un proyecto.</t>
        </is>
      </c>
    </row>
    <row r="21" ht="39.59999999999999" customHeight="1">
      <c r="A21" s="14" t="inlineStr">
        <is>
          <t>Cómo se leyeron</t>
        </is>
      </c>
      <c r="B21" s="14" t="inlineStr">
        <is>
          <t>Los PDF se leyeron con un lector automático que devuelve resúmenes. Para no depender de una transcripción, los números usados se recalcularon a mano: 719,1 kN = 0,9·235 MPa·3 400 mm²; Mu = (1,2·2 + 1,6·5)·16²/8 = 332,8 kN·m; Vu = 10,4·(8 − 4) = 41,6 kN; φbMp = 0,9·235·762 cm³ = 161,16 kN·m; φcPn de W14×74 = 0,85·21,8·21,99 = 407,5 kip.</t>
        </is>
      </c>
    </row>
    <row r="23">
      <c r="A23" s="12" t="inlineStr">
        <is>
          <t>Lo que NO se pudo obtener</t>
        </is>
      </c>
      <c r="B23" s="13" t="n"/>
    </row>
    <row r="24" ht="39.59999999999999" customHeight="1">
      <c r="A24" s="14" t="inlineStr">
        <is>
          <t>Libros completos</t>
        </is>
      </c>
      <c r="B24" s="14" t="inlineStr">
        <is>
          <t>No se pudo leer el texto de Kassimali, McGuire–Gallagher–Ziemian ni de Hibbeler: los PDF disponibles son demasiado grandes para el lector o no están publicados en forma abierta. No se usaron copias pirata. Los problemas de esos libros no están en este informe.</t>
        </is>
      </c>
    </row>
    <row r="25" ht="66" customHeight="1">
      <c r="A25" s="14" t="inlineStr">
        <is>
          <t>Apuntes bloqueados</t>
        </is>
      </c>
      <c r="B25" s="14" t="inlineStr">
        <is>
          <t>Las guías de la UTN Facultad Regional Mendoza (CIRSOC 301) y otros repositorios impiden el acceso automático (robots.txt); no se eludió la restricción. Del documento del INTI sólo se pudo verificar con confianza los ejemplos 4 a 6; el ejemplo 6 completo (PNI 300 con platabanda soldada) no se reproduce: aquí sólo se verifican Mu y φb·Mp del perfil solo. Las propiedades de las secciones armadas de la versión 2 (PS soldada, perfil + platabanda, cajón) se verifican aparte en N10.</t>
        </is>
      </c>
    </row>
    <row r="26" ht="26.4" customHeight="1">
      <c r="A26" s="14" t="inlineStr">
        <is>
          <t>Pedido</t>
        </is>
      </c>
      <c r="B26" s="14" t="inlineStr">
        <is>
          <t>Si me pasás fotos o PDF de problemas resueltos de tus propios libros (con su resultado), los cargo del mismo modo y se agregan a este informe.</t>
        </is>
      </c>
    </row>
    <row r="28">
      <c r="A28" s="12" t="inlineStr">
        <is>
          <t>Resultados que no coinciden exactamente (y por qué)</t>
        </is>
      </c>
      <c r="B28" s="13" t="n"/>
    </row>
    <row r="29" ht="26.4" customHeight="1">
      <c r="A29" s="14" t="inlineStr">
        <is>
          <t>A04 – torsor publicado</t>
        </is>
      </c>
      <c r="B29" s="14" t="inlineStr">
        <is>
          <t>La fuente da 1,50 kN·m y la solución exacta del problema es 1,646 kN·m (el programa y PyNite coinciden con la exacta). Diferencia atribuible al redondeo del apunte.</t>
        </is>
      </c>
    </row>
    <row r="30" ht="26.4" customHeight="1">
      <c r="A30" s="14" t="inlineStr">
        <is>
          <t>A07 – momento plástico</t>
        </is>
      </c>
      <c r="B30" s="14" t="inlineStr">
        <is>
          <t>El programa estima el módulo plástico Zx con la geometría simplificada de la sección y da 768 cm³ para el PNI 300; la tabla indica 762 cm³ (+0,8 %). Es una aproximación del programa, no un error del solver.</t>
        </is>
      </c>
    </row>
    <row r="31" ht="26.4" customHeight="1">
      <c r="A31" s="14" t="inlineStr">
        <is>
          <t>A08 y A09 – columnas</t>
        </is>
      </c>
      <c r="B31" s="14" t="inlineStr">
        <is>
          <t>La diferencia de −0,17 % y −0,25 % respecto de lo impreso viene del redondeo del libro y de usar el radio de giro calculado (√(I/A)) en lugar del tabulado.</t>
        </is>
      </c>
    </row>
    <row r="32" ht="39.59999999999999" customHeight="1">
      <c r="A32" s="14" t="inlineStr">
        <is>
          <t>Perfiles IPE – Zx</t>
        </is>
      </c>
      <c r="B32" s="14" t="inlineStr">
        <is>
          <t>Con la geometría simplificada (sin el acuerdo alma-ala) el programa subestima el módulo plástico respecto de la tabla en torno de 4 a 6 % (hoja «Control Zx IPE»). Es del lado seguro (reduce φbMp), pero hace que las barras IPE den en flexión un r algo mayor que el real. Se informa como observación; el catálogo de la app no se modificó.</t>
        </is>
      </c>
    </row>
    <row r="34">
      <c r="A34" s="12" t="inlineStr">
        <is>
          <t>Límites del programa que esta verificación NO cubre</t>
        </is>
      </c>
      <c r="B34" s="13" t="n"/>
    </row>
    <row r="35" ht="52.8" customHeight="1">
      <c r="A35" s="14" t="inlineStr">
        <is>
          <t>Análisis</t>
        </is>
      </c>
      <c r="B35" s="14" t="inlineStr">
        <is>
          <t>Segundo orden opcional por iteración sobre el axil de cada barra con funciones de estabilidad exactas (P-Δ y P-δ). No incluye imperfecciones iniciales ni cargas nocionales (la opción de rigidez reducida DAM no agrega nocionales), ni el acoplamiento axil-torsión, ni el alabeo restringido en el análisis (el Cw sólo interviene en la resistencia). Material elástico lineal; apoyos lineales.</t>
        </is>
      </c>
    </row>
    <row r="36" ht="39.59999999999999" customHeight="1">
      <c r="A36" s="14" t="inlineStr">
        <is>
          <t>Resistencia</t>
        </is>
      </c>
      <c r="B36" s="14" t="inlineStr">
        <is>
          <t>Tracción: sólo fluencia de la sección bruta (sin rotura de la sección neta). Flexocompresión con alma esbelta y cajones de almas esbeltas: aproximados. Sin uniones, anclajes, excentricidades, fatiga ni fuego. J y Cw de los perfiles laminados son aproximados (J ≈ 1,3·Σbt³/3).</t>
        </is>
      </c>
    </row>
    <row r="37" ht="39.59999999999999" customHeight="1">
      <c r="A37" s="14" t="inlineStr">
        <is>
          <t>Generadores de viento y sismo</t>
        </is>
      </c>
      <c r="B37" s="14" t="inlineStr">
        <is>
          <t>Los coeficientes de tabla (Cf, G, V, coeficiente sísmico C, pesos) los carga el usuario; el programa aplica las fórmulas de presión y reparto. Los generadores se probaron en la app (qz recalculado aparte, ΣF = C·W), pero no están en estos ejercicios; las combinaciones se verifican en N14 con los factores cargados en el propio ejercicio.</t>
        </is>
      </c>
    </row>
    <row r="38" ht="52.8" customHeight="1">
      <c r="A38" s="14" t="inlineStr">
        <is>
          <t>Alcance de la prueba</t>
        </is>
      </c>
      <c r="B38" s="14" t="inlineStr">
        <is>
          <t>Un problema de libro sólo prueba los casos que cubre: estas 45 pruebas dan confianza razonable en el solver (desplazamientos, reacciones, esfuerzos, torsión, ejes locales, combinaciones, cargas de barra, resortes, asentamientos, uniones semirrígidas, deformación por corte y segundo orden) y en la implementación de las fórmulas de resistencia, pero no reemplazan la revisión del proyecto por un profesional.</t>
        </is>
      </c>
    </row>
    <row r="40">
      <c r="A40" s="12" t="inlineStr">
        <is>
          <t>Prueba de sensibilidad (¿detectan los ejercicios un error?)</t>
        </is>
      </c>
      <c r="B40" s="13" t="n"/>
    </row>
    <row r="41" ht="26.4" customHeight="1">
      <c r="A41" s="14" t="inlineStr">
        <is>
          <t>Método</t>
        </is>
      </c>
      <c r="B41" s="14" t="inlineStr">
        <is>
          <t>Se alteró a propósito el código del programa, de a una modificación por vez, y se volvieron a correr los 45 ejercicios. Las 33 alteraciones fueron detectadas por al menos un ejercicio:</t>
        </is>
      </c>
    </row>
    <row r="42" ht="15" customHeight="1">
      <c r="A42" s="14" t="inlineStr">
        <is>
          <t>φc 0,85→0,90</t>
        </is>
      </c>
      <c r="B42" s="14" t="inlineStr">
        <is>
          <t>Detectado por: A08, A09, F01, F03, N11</t>
        </is>
      </c>
    </row>
    <row r="43" ht="15" customHeight="1">
      <c r="A43" s="14" t="inlineStr">
        <is>
          <t>Lp 1,76→1,70</t>
        </is>
      </c>
      <c r="B43" s="14" t="inlineStr">
        <is>
          <t>Detectado por: F02, F03, N12</t>
        </is>
      </c>
    </row>
    <row r="44" ht="15" customHeight="1">
      <c r="A44" s="14" t="inlineStr">
        <is>
          <t>interacción 8/9→8/10</t>
        </is>
      </c>
      <c r="B44" s="14" t="inlineStr">
        <is>
          <t>Detectado por: F03</t>
        </is>
      </c>
    </row>
    <row r="45" ht="15" customHeight="1">
      <c r="A45" s="14" t="inlineStr">
        <is>
          <t>corte 0,6→0,5 (alma)</t>
        </is>
      </c>
      <c r="B45" s="14" t="inlineStr">
        <is>
          <t>Detectado por: F02</t>
        </is>
      </c>
    </row>
    <row r="46" ht="15" customHeight="1">
      <c r="A46" s="14" t="inlineStr">
        <is>
          <t>curva de columna 0,658→0,66</t>
        </is>
      </c>
      <c r="B46" s="14" t="inlineStr">
        <is>
          <t>Detectado por: A08, F01, N11</t>
        </is>
      </c>
    </row>
    <row r="47" ht="15" customHeight="1">
      <c r="A47" s="14" t="inlineStr">
        <is>
          <t>pandeo débil usa kls</t>
        </is>
      </c>
      <c r="B47" s="14" t="inlineStr">
        <is>
          <t>Detectado por: A09, F01</t>
        </is>
      </c>
    </row>
    <row r="48" ht="15" customHeight="1">
      <c r="A48" s="14" t="inlineStr">
        <is>
          <t>rigidez torsional GJ +5 %</t>
        </is>
      </c>
      <c r="B48" s="14" t="inlineStr">
        <is>
          <t>Detectado por: A04, C13</t>
        </is>
      </c>
    </row>
    <row r="49" ht="26.4" customHeight="1">
      <c r="A49" s="14" t="inlineStr">
        <is>
          <t>carga parcial: ignora el fin b</t>
        </is>
      </c>
      <c r="B49" s="14" t="inlineStr">
        <is>
          <t>Detectado por: N02</t>
        </is>
      </c>
    </row>
    <row r="50" ht="15" customHeight="1">
      <c r="A50" s="14" t="inlineStr">
        <is>
          <t>trapecio: w2 → w1</t>
        </is>
      </c>
      <c r="B50" s="14" t="inlineStr">
        <is>
          <t>Detectado por: N03</t>
        </is>
      </c>
    </row>
    <row r="51" ht="15" customHeight="1">
      <c r="A51" s="14" t="inlineStr">
        <is>
          <t>carga puntual: signo</t>
        </is>
      </c>
      <c r="B51" s="14" t="inlineStr">
        <is>
          <t>Detectado por: N01</t>
        </is>
      </c>
    </row>
    <row r="52" ht="15" customHeight="1">
      <c r="A52" s="14" t="inlineStr">
        <is>
          <t>temperatura uniforme −10 %</t>
        </is>
      </c>
      <c r="B52" s="14" t="inlineStr">
        <is>
          <t>Detectado por: N04</t>
        </is>
      </c>
    </row>
    <row r="53" ht="26.4" customHeight="1">
      <c r="A53" s="14" t="inlineStr">
        <is>
          <t>gradiente térmico usa b en lugar de h</t>
        </is>
      </c>
      <c r="B53" s="14" t="inlineStr">
        <is>
          <t>Detectado por: N04</t>
        </is>
      </c>
    </row>
    <row r="54" ht="26.4" customHeight="1">
      <c r="A54" s="14" t="inlineStr">
        <is>
          <t>carga uniforme en plano débil: signo</t>
        </is>
      </c>
      <c r="B54" s="14" t="inlineStr">
        <is>
          <t>Detectado por: C14, N02</t>
        </is>
      </c>
    </row>
    <row r="55" ht="26.4" customHeight="1">
      <c r="A55" s="14" t="inlineStr">
        <is>
          <t>carga puntual en plano débil: signo</t>
        </is>
      </c>
      <c r="B55" s="14" t="inlineStr">
        <is>
          <t>Detectado por: N01</t>
        </is>
      </c>
    </row>
    <row r="56" ht="26.4" customHeight="1">
      <c r="A56" s="14" t="inlineStr">
        <is>
          <t>momento puntual en plano fuerte: signo</t>
        </is>
      </c>
      <c r="B56" s="14" t="inlineStr">
        <is>
          <t>Detectado por: N01</t>
        </is>
      </c>
    </row>
    <row r="57" ht="26.4" customHeight="1">
      <c r="A57" s="14" t="inlineStr">
        <is>
          <t>momento puntual en plano débil: signo</t>
        </is>
      </c>
      <c r="B57" s="14" t="inlineStr">
        <is>
          <t>Detectado por: N01</t>
        </is>
      </c>
    </row>
    <row r="58" ht="26.4" customHeight="1">
      <c r="A58" s="14" t="inlineStr">
        <is>
          <t>resorte de giro de apoyo en kN·m mal convertido</t>
        </is>
      </c>
      <c r="B58" s="14" t="inlineStr">
        <is>
          <t>Detectado por: N05</t>
        </is>
      </c>
    </row>
    <row r="59" ht="26.4" customHeight="1">
      <c r="A59" s="14" t="inlineStr">
        <is>
          <t>asentamiento de giro en grados</t>
        </is>
      </c>
      <c r="B59" s="14" t="inlineStr">
        <is>
          <t>Detectado por: N06</t>
        </is>
      </c>
    </row>
    <row r="60" ht="26.4" customHeight="1">
      <c r="A60" s="14" t="inlineStr">
        <is>
          <t>resorte de unión mal convertido</t>
        </is>
      </c>
      <c r="B60" s="14" t="inlineStr">
        <is>
          <t>Detectado por: N07</t>
        </is>
      </c>
    </row>
    <row r="61" ht="15" customHeight="1">
      <c r="A61" s="14" t="inlineStr">
        <is>
          <t>área de corte Aws→Aww</t>
        </is>
      </c>
      <c r="B61" s="14" t="inlineStr">
        <is>
          <t>Detectado por: N08</t>
        </is>
      </c>
    </row>
    <row r="62" ht="26.4" customHeight="1">
      <c r="A62" s="14" t="inlineStr">
        <is>
          <t>segundo orden sin término P·φ (P-Δ)</t>
        </is>
      </c>
      <c r="B62" s="14" t="inlineStr">
        <is>
          <t>Detectado por: N13, N15, N16</t>
        </is>
      </c>
    </row>
    <row r="63" ht="26.4" customHeight="1">
      <c r="A63" s="14" t="inlineStr">
        <is>
          <t>segundo orden: cos con 1 % de error</t>
        </is>
      </c>
      <c r="B63" s="14" t="inlineStr">
        <is>
          <t>Detectado por: N13, N15</t>
        </is>
      </c>
    </row>
    <row r="64" ht="15" customHeight="1">
      <c r="A64" s="14" t="inlineStr">
        <is>
          <t>cortante-P: κ sin factor r</t>
        </is>
      </c>
      <c r="B64" s="14" t="inlineStr">
        <is>
          <t>Detectado por: N15</t>
        </is>
      </c>
    </row>
    <row r="65" ht="15" customHeight="1">
      <c r="A65" s="14" t="inlineStr">
        <is>
          <t>Cb: 4·MB → 3·MB</t>
        </is>
      </c>
      <c r="B65" s="14" t="inlineStr">
        <is>
          <t>Detectado por: N09</t>
        </is>
      </c>
    </row>
    <row r="66" ht="15" customHeight="1">
      <c r="A66" s="14" t="inlineStr">
        <is>
          <t>Cb: tope 2,3 → 2,6</t>
        </is>
      </c>
      <c r="B66" s="14" t="inlineStr">
        <is>
          <t>Detectado por: N09</t>
        </is>
      </c>
    </row>
    <row r="67" ht="15" customHeight="1">
      <c r="A67" s="14" t="inlineStr">
        <is>
          <t>Qs soldadas 0,65 → 0,60</t>
        </is>
      </c>
      <c r="B67" s="14" t="inlineStr">
        <is>
          <t>Detectado por: N11</t>
        </is>
      </c>
    </row>
    <row r="68" ht="26.4" customHeight="1">
      <c r="A68" s="14" t="inlineStr">
        <is>
          <t>λr soldadas compresión 0,64 → 0,60</t>
        </is>
      </c>
      <c r="B68" s="14" t="inlineStr">
        <is>
          <t>Detectado por: N11</t>
        </is>
      </c>
    </row>
    <row r="69" ht="15" customHeight="1">
      <c r="A69" s="14" t="inlineStr">
        <is>
          <t>Fr soldadas 114 → 69</t>
        </is>
      </c>
      <c r="B69" s="14" t="inlineStr">
        <is>
          <t>Detectado por: N12</t>
        </is>
      </c>
    </row>
    <row r="70" ht="26.4" customHeight="1">
      <c r="A70" s="14" t="inlineStr">
        <is>
          <t>λr ala soldada 0,95 → 0,83 (flexión)</t>
        </is>
      </c>
      <c r="B70" s="14" t="inlineStr">
        <is>
          <t>Detectado por: N12</t>
        </is>
      </c>
    </row>
    <row r="71" ht="15" customHeight="1">
      <c r="A71" s="14" t="inlineStr">
        <is>
          <t>λp ala 0,38 → 0,40</t>
        </is>
      </c>
      <c r="B71" s="14" t="inlineStr">
        <is>
          <t>Detectado por: N12</t>
        </is>
      </c>
    </row>
    <row r="72" ht="15" customHeight="1">
      <c r="A72" s="14" t="inlineStr">
        <is>
          <t>alabeo Cw de la PS +10 %</t>
        </is>
      </c>
      <c r="B72" s="14" t="inlineStr">
        <is>
          <t>Detectado por: N10, N12</t>
        </is>
      </c>
    </row>
    <row r="73" ht="15" customHeight="1">
      <c r="A73" s="14" t="inlineStr">
        <is>
          <t>el caso S no carga los nudos</t>
        </is>
      </c>
      <c r="B73" s="14" t="inlineStr">
        <is>
          <t>Detectado por: N14</t>
        </is>
      </c>
    </row>
    <row r="74" ht="15" customHeight="1">
      <c r="A74" s="14" t="inlineStr">
        <is>
          <t>signo del axil</t>
        </is>
      </c>
      <c r="B74" s="14" t="inlineStr">
        <is>
          <t>Detectado por: A01, A02, A03, C08, C09, C16, A05, A08, A09, F01, F03, N04, N13, N15</t>
        </is>
      </c>
    </row>
  </sheetData>
  <hyperlinks>
    <hyperlink xmlns:r="http://schemas.openxmlformats.org/officeDocument/2006/relationships" ref="B10" r:id="rId1"/>
    <hyperlink xmlns:r="http://schemas.openxmlformats.org/officeDocument/2006/relationships" ref="B12" r:id="rId2"/>
    <hyperlink xmlns:r="http://schemas.openxmlformats.org/officeDocument/2006/relationships" ref="B14" r:id="rId3"/>
    <hyperlink xmlns:r="http://schemas.openxmlformats.org/officeDocument/2006/relationships" ref="B16" r:id="rId4"/>
  </hyperlink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H11"/>
  <sheetViews>
    <sheetView showGridLines="0" workbookViewId="0">
      <selection activeCell="A1" sqref="A1"/>
    </sheetView>
  </sheetViews>
  <sheetFormatPr baseColWidth="8" defaultRowHeight="15"/>
  <cols>
    <col width="12" customWidth="1" min="1" max="1"/>
    <col width="10" customWidth="1" min="2" max="2"/>
    <col width="10" customWidth="1" min="3" max="3"/>
    <col width="10" customWidth="1" min="4" max="4"/>
    <col width="10" customWidth="1" min="5" max="5"/>
    <col width="18" customWidth="1" min="6" max="6"/>
    <col width="20" customWidth="1" min="7" max="7"/>
    <col width="16" customWidth="1" min="8" max="8"/>
  </cols>
  <sheetData>
    <row r="1">
      <c r="A1" s="1" t="inlineStr">
        <is>
          <t>Módulo plástico Zx de los IPE: programa vs tabla</t>
        </is>
      </c>
    </row>
    <row r="2">
      <c r="A2" s="2" t="inlineStr">
        <is>
          <t>Zx programa = b·tf·(h − tf) + tw·(h − 2tf)²/4 (geometría simplificada del programa; el tope 1,5·Sx no interviene en estos perfiles). Zx tabla = Wpl,y de las tablas de perfiles IPE.</t>
        </is>
      </c>
    </row>
    <row r="4" ht="30" customHeight="1">
      <c r="A4" s="5" t="inlineStr">
        <is>
          <t>Perfil</t>
        </is>
      </c>
      <c r="B4" s="5" t="inlineStr">
        <is>
          <t>h (mm)</t>
        </is>
      </c>
      <c r="C4" s="5" t="inlineStr">
        <is>
          <t>b (mm)</t>
        </is>
      </c>
      <c r="D4" s="5" t="inlineStr">
        <is>
          <t>tw (mm)</t>
        </is>
      </c>
      <c r="E4" s="5" t="inlineStr">
        <is>
          <t>tf (mm)</t>
        </is>
      </c>
      <c r="F4" s="5" t="inlineStr">
        <is>
          <t>Wpl,y tabla (cm³)</t>
        </is>
      </c>
      <c r="G4" s="5" t="inlineStr">
        <is>
          <t>Zx programa (cm³)</t>
        </is>
      </c>
      <c r="H4" s="5" t="inlineStr">
        <is>
          <t>Programa / tabla − 1</t>
        </is>
      </c>
    </row>
    <row r="5">
      <c r="A5" s="17" t="inlineStr">
        <is>
          <t>IPE 100</t>
        </is>
      </c>
      <c r="B5" s="18" t="n">
        <v>100</v>
      </c>
      <c r="C5" s="18" t="n">
        <v>55</v>
      </c>
      <c r="D5" s="18" t="n">
        <v>4.1</v>
      </c>
      <c r="E5" s="18" t="n">
        <v>5.7</v>
      </c>
      <c r="F5" s="18" t="n">
        <v>39.4</v>
      </c>
      <c r="G5" s="19">
        <f>(C5*E5*(B5-E5)+D5*(B5-2*E5)^2/4)/1000</f>
        <v/>
      </c>
      <c r="H5" s="20">
        <f>G5/F5-1</f>
        <v/>
      </c>
    </row>
    <row r="6">
      <c r="A6" s="17" t="inlineStr">
        <is>
          <t>IPE 200</t>
        </is>
      </c>
      <c r="B6" s="18" t="n">
        <v>200</v>
      </c>
      <c r="C6" s="18" t="n">
        <v>100</v>
      </c>
      <c r="D6" s="18" t="n">
        <v>5.6</v>
      </c>
      <c r="E6" s="18" t="n">
        <v>8.5</v>
      </c>
      <c r="F6" s="18" t="n">
        <v>220.6</v>
      </c>
      <c r="G6" s="19">
        <f>(C6*E6*(B6-E6)+D6*(B6-2*E6)^2/4)/1000</f>
        <v/>
      </c>
      <c r="H6" s="20">
        <f>G6/F6-1</f>
        <v/>
      </c>
    </row>
    <row r="7">
      <c r="A7" s="17" t="inlineStr">
        <is>
          <t>IPE 240</t>
        </is>
      </c>
      <c r="B7" s="18" t="n">
        <v>240</v>
      </c>
      <c r="C7" s="18" t="n">
        <v>120</v>
      </c>
      <c r="D7" s="18" t="n">
        <v>6.2</v>
      </c>
      <c r="E7" s="18" t="n">
        <v>9.800000000000001</v>
      </c>
      <c r="F7" s="18" t="n">
        <v>366.6</v>
      </c>
      <c r="G7" s="19">
        <f>(C7*E7*(B7-E7)+D7*(B7-2*E7)^2/4)/1000</f>
        <v/>
      </c>
      <c r="H7" s="20">
        <f>G7/F7-1</f>
        <v/>
      </c>
    </row>
    <row r="8">
      <c r="A8" s="17" t="inlineStr">
        <is>
          <t>IPE 300</t>
        </is>
      </c>
      <c r="B8" s="18" t="n">
        <v>300</v>
      </c>
      <c r="C8" s="18" t="n">
        <v>150</v>
      </c>
      <c r="D8" s="18" t="n">
        <v>7.1</v>
      </c>
      <c r="E8" s="18" t="n">
        <v>10.7</v>
      </c>
      <c r="F8" s="18" t="n">
        <v>628.4</v>
      </c>
      <c r="G8" s="19">
        <f>(C8*E8*(B8-E8)+D8*(B8-2*E8)^2/4)/1000</f>
        <v/>
      </c>
      <c r="H8" s="20">
        <f>G8/F8-1</f>
        <v/>
      </c>
    </row>
    <row r="9">
      <c r="A9" s="17" t="inlineStr">
        <is>
          <t>IPE 400</t>
        </is>
      </c>
      <c r="B9" s="18" t="n">
        <v>400</v>
      </c>
      <c r="C9" s="18" t="n">
        <v>180</v>
      </c>
      <c r="D9" s="18" t="n">
        <v>8.6</v>
      </c>
      <c r="E9" s="18" t="n">
        <v>13.5</v>
      </c>
      <c r="F9" s="18" t="n">
        <v>1307</v>
      </c>
      <c r="G9" s="19">
        <f>(C9*E9*(B9-E9)+D9*(B9-2*E9)^2/4)/1000</f>
        <v/>
      </c>
      <c r="H9" s="20">
        <f>G9/F9-1</f>
        <v/>
      </c>
    </row>
    <row r="11">
      <c r="A11" s="2" t="inlineStr">
        <is>
          <t>Los valores de h, b, tw, tf y Wpl,y son de tabla (Wpl,y: catálogos de IPE EN 10365). La diferencia negativa indica que el programa es conservador en flexión.</t>
        </is>
      </c>
    </row>
  </sheetData>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N23"/>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A01 · Cercha plana de 3 barras (carga horizontal)</t>
        </is>
      </c>
    </row>
    <row r="2">
      <c r="A2" s="2" t="inlineStr">
        <is>
          <t>Resultado publicado.  Fuente: Prof. R. Austin, Univ. de Maryland, ENCE 353 · «Direct Stiffness Method» (apuntes de cátedra)</t>
        </is>
      </c>
    </row>
    <row r="3">
      <c r="A3" s="21" t="inlineStr">
        <is>
          <t>https://user.eng.umd.edu/~austin/ence353.d/lecture-material2025/direct-stiffness-method.pdf</t>
        </is>
      </c>
    </row>
    <row r="4" ht="30" customHeight="1">
      <c r="A4" s="14" t="inlineStr">
        <is>
          <t>Enunciado. Cercha en el plano XZ: nudo 1 (0,0) articulado, nudo 2 (10,0) con apoyo móvil vertical, nudo 3 (0,10) libre con carga horizontal de 10. Las tres barras tienen E = A = 1. Se comparan desplazamientos y esfuerzos axiles publicados.</t>
        </is>
      </c>
    </row>
    <row r="6">
      <c r="A6" s="22" t="inlineStr">
        <is>
          <t>DATOS DEL EJERCICIO</t>
        </is>
      </c>
      <c r="B6" s="22" t="n"/>
      <c r="C6" s="22" t="n"/>
      <c r="D6" s="22" t="n"/>
      <c r="E6" s="22" t="n"/>
      <c r="F6" s="22" t="n"/>
      <c r="G6" s="22" t="n"/>
      <c r="H6" s="22" t="n"/>
      <c r="I6" s="22" t="n"/>
      <c r="J6" s="22" t="n"/>
      <c r="K6" s="22" t="n"/>
      <c r="L6" s="22" t="n"/>
      <c r="M6" s="22" t="n"/>
      <c r="N6" s="22" t="n"/>
    </row>
    <row r="7">
      <c r="A7" s="5" t="inlineStr">
        <is>
          <t>#</t>
        </is>
      </c>
      <c r="B7" s="5" t="inlineStr">
        <is>
          <t>Dato</t>
        </is>
      </c>
      <c r="C7" s="5" t="inlineStr">
        <is>
          <t>Unidad</t>
        </is>
      </c>
      <c r="D7" s="5" t="inlineStr">
        <is>
          <t>Valor</t>
        </is>
      </c>
      <c r="K7" s="5" t="inlineStr">
        <is>
          <t>Símbolo</t>
        </is>
      </c>
      <c r="L7" s="5" t="inlineStr">
        <is>
          <t>Fórmula (texto)</t>
        </is>
      </c>
    </row>
    <row r="8">
      <c r="A8" s="17" t="n">
        <v>1</v>
      </c>
      <c r="B8" s="8" t="inlineStr">
        <is>
          <t>Módulo elástico adoptado (EA = 1000 N)</t>
        </is>
      </c>
      <c r="C8" s="17" t="inlineStr">
        <is>
          <t>MPa</t>
        </is>
      </c>
      <c r="D8" s="23" t="n">
        <v>1000</v>
      </c>
      <c r="K8" s="17" t="inlineStr">
        <is>
          <t>E</t>
        </is>
      </c>
      <c r="L8" s="24" t="inlineStr">
        <is>
          <t>dato ingresado</t>
        </is>
      </c>
    </row>
    <row r="9">
      <c r="A9" s="17" t="n">
        <v>2</v>
      </c>
      <c r="B9" s="8" t="inlineStr">
        <is>
          <t>Área de cada barra (la fuente adopta E = A = 1)</t>
        </is>
      </c>
      <c r="C9" s="17" t="inlineStr">
        <is>
          <t>mm²</t>
        </is>
      </c>
      <c r="D9" s="25" t="n">
        <v>1</v>
      </c>
      <c r="K9" s="17" t="inlineStr">
        <is>
          <t>A</t>
        </is>
      </c>
      <c r="L9" s="24" t="inlineStr">
        <is>
          <t>dato ingresado</t>
        </is>
      </c>
    </row>
    <row r="10">
      <c r="A10" s="17" t="n">
        <v>3</v>
      </c>
      <c r="B10" s="8" t="inlineStr">
        <is>
          <t>Carga de la fuente (valor 10)</t>
        </is>
      </c>
      <c r="C10" s="17" t="inlineStr">
        <is>
          <t>kN</t>
        </is>
      </c>
      <c r="D10" s="25" t="n">
        <v>10</v>
      </c>
      <c r="K10" s="17" t="inlineStr">
        <is>
          <t>F</t>
        </is>
      </c>
      <c r="L10" s="24" t="inlineStr">
        <is>
          <t>dato ingresado</t>
        </is>
      </c>
    </row>
    <row r="11">
      <c r="A11" s="17" t="n">
        <v>4</v>
      </c>
      <c r="B11" s="8" t="inlineStr">
        <is>
          <t>Lado del cuadrado de la fuente (valor 10)</t>
        </is>
      </c>
      <c r="C11" s="17" t="inlineStr">
        <is>
          <t>mm</t>
        </is>
      </c>
      <c r="D11" s="25" t="n">
        <v>10</v>
      </c>
      <c r="K11" s="17" t="inlineStr">
        <is>
          <t>a</t>
        </is>
      </c>
      <c r="L11" s="24" t="inlineStr">
        <is>
          <t>dato ingresado</t>
        </is>
      </c>
    </row>
    <row r="13">
      <c r="A13" s="22" t="inlineStr">
        <is>
          <t>COMPARACIÓN: TEORÍA / DATO PUBLICADO  vs  PROGRAMA (Atlas Estructuras 3D)</t>
        </is>
      </c>
      <c r="B13" s="22" t="n"/>
      <c r="C13" s="22" t="n"/>
      <c r="D13" s="22" t="n"/>
      <c r="E13" s="22" t="n"/>
      <c r="F13" s="22" t="n"/>
      <c r="G13" s="22" t="n"/>
      <c r="H13" s="22" t="n"/>
      <c r="I13" s="22" t="n"/>
      <c r="J13" s="22" t="n"/>
      <c r="K13" s="22" t="n"/>
      <c r="L13" s="22" t="n"/>
      <c r="M13" s="22" t="n"/>
      <c r="N13" s="22" t="n"/>
    </row>
    <row r="14" ht="30" customHeight="1">
      <c r="A14" s="5" t="inlineStr">
        <is>
          <t>#</t>
        </is>
      </c>
      <c r="B14" s="5" t="inlineStr">
        <is>
          <t>Comprobación</t>
        </is>
      </c>
      <c r="C14" s="5" t="inlineStr">
        <is>
          <t>Unidad</t>
        </is>
      </c>
      <c r="D14" s="5" t="inlineStr">
        <is>
          <t>Teoría / publicado</t>
        </is>
      </c>
      <c r="E14" s="5" t="inlineStr">
        <is>
          <t>Programa</t>
        </is>
      </c>
      <c r="F14" s="5" t="inlineStr">
        <is>
          <t>Diferencia (prog. − teoría)</t>
        </is>
      </c>
      <c r="G14" s="5" t="inlineStr">
        <is>
          <t>Error relativo</t>
        </is>
      </c>
      <c r="H14" s="5" t="inlineStr">
        <is>
          <t>Tol. relativa</t>
        </is>
      </c>
      <c r="I14" s="5" t="inlineStr">
        <is>
          <t>Tol. absoluta</t>
        </is>
      </c>
      <c r="J14" s="5" t="inlineStr">
        <is>
          <t>Estado</t>
        </is>
      </c>
      <c r="K14" s="5" t="inlineStr">
        <is>
          <t>Origen</t>
        </is>
      </c>
      <c r="L14" s="5" t="inlineStr">
        <is>
          <t>Expresión de la teoría (texto)</t>
        </is>
      </c>
      <c r="M14" s="5" t="inlineStr">
        <is>
          <t>Dónde se lee en el programa</t>
        </is>
      </c>
      <c r="N14" s="5" t="inlineStr">
        <is>
          <t>Nota</t>
        </is>
      </c>
    </row>
    <row r="15" ht="28" customHeight="1">
      <c r="A15" s="17" t="n">
        <v>1</v>
      </c>
      <c r="B15" s="8" t="inlineStr">
        <is>
          <t>Desplazamiento horizontal del nudo 2</t>
        </is>
      </c>
      <c r="C15" s="17" t="inlineStr">
        <is>
          <t>mm</t>
        </is>
      </c>
      <c r="D15" s="26">
        <f>100</f>
        <v/>
      </c>
      <c r="E15" s="25" t="n">
        <v>100</v>
      </c>
      <c r="F15" s="27">
        <f>E15-D15</f>
        <v/>
      </c>
      <c r="G15" s="28">
        <f>IF(ABS(D15)&gt;0.000000000001,F15/D15,"—")</f>
        <v/>
      </c>
      <c r="H15" s="29" t="n">
        <v>1e-05</v>
      </c>
      <c r="I15" s="30" t="n">
        <v>1e-06</v>
      </c>
      <c r="J15" s="31">
        <f>IF(ABS(F15)&lt;=MAX(H15*ABS(D15),I15),"OK","NO")</f>
        <v/>
      </c>
      <c r="K15" s="32" t="inlineStr">
        <is>
          <t>Publicado</t>
        </is>
      </c>
      <c r="L15" s="9" t="inlineStr">
        <is>
          <t>100</t>
        </is>
      </c>
      <c r="M15" s="9" t="inlineStr">
        <is>
          <t>Desplazamiento Ux del nudo 2 · combinación «C1: 1,0·D + 1,0·Hx»</t>
        </is>
      </c>
      <c r="N15" s="9" t="inlineStr"/>
    </row>
    <row r="16" ht="28" customHeight="1">
      <c r="A16" s="17" t="n">
        <v>2</v>
      </c>
      <c r="B16" s="8" t="inlineStr">
        <is>
          <t>Desplazamiento horizontal del nudo 3</t>
        </is>
      </c>
      <c r="C16" s="17" t="inlineStr">
        <is>
          <t>mm</t>
        </is>
      </c>
      <c r="D16" s="26">
        <f>482.843</f>
        <v/>
      </c>
      <c r="E16" s="25" t="n">
        <v>482.8427124746191</v>
      </c>
      <c r="F16" s="27">
        <f>E16-D16</f>
        <v/>
      </c>
      <c r="G16" s="28">
        <f>IF(ABS(D16)&gt;0.000000000001,F16/D16,"—")</f>
        <v/>
      </c>
      <c r="H16" s="29" t="n">
        <v>2e-06</v>
      </c>
      <c r="I16" s="30" t="n">
        <v>1e-06</v>
      </c>
      <c r="J16" s="31">
        <f>IF(ABS(F16)&lt;=MAX(H16*ABS(D16),I16),"OK","NO")</f>
        <v/>
      </c>
      <c r="K16" s="32" t="inlineStr">
        <is>
          <t>Publicado</t>
        </is>
      </c>
      <c r="L16" s="9" t="inlineStr">
        <is>
          <t>482.843</t>
        </is>
      </c>
      <c r="M16" s="9" t="inlineStr">
        <is>
          <t>Desplazamiento Ux del nudo 3 · combinación «C1: 1,0·D + 1,0·Hx»</t>
        </is>
      </c>
      <c r="N16" s="9" t="inlineStr"/>
    </row>
    <row r="17" ht="28" customHeight="1">
      <c r="A17" s="17" t="n">
        <v>3</v>
      </c>
      <c r="B17" s="8" t="inlineStr">
        <is>
          <t>Desplazamiento vertical del nudo 3</t>
        </is>
      </c>
      <c r="C17" s="17" t="inlineStr">
        <is>
          <t>mm</t>
        </is>
      </c>
      <c r="D17" s="26">
        <f>100</f>
        <v/>
      </c>
      <c r="E17" s="25" t="n">
        <v>100</v>
      </c>
      <c r="F17" s="27">
        <f>E17-D17</f>
        <v/>
      </c>
      <c r="G17" s="28">
        <f>IF(ABS(D17)&gt;0.000000000001,F17/D17,"—")</f>
        <v/>
      </c>
      <c r="H17" s="29" t="n">
        <v>1e-05</v>
      </c>
      <c r="I17" s="30" t="n">
        <v>1e-06</v>
      </c>
      <c r="J17" s="31">
        <f>IF(ABS(F17)&lt;=MAX(H17*ABS(D17),I17),"OK","NO")</f>
        <v/>
      </c>
      <c r="K17" s="32" t="inlineStr">
        <is>
          <t>Publicado</t>
        </is>
      </c>
      <c r="L17" s="9" t="inlineStr">
        <is>
          <t>100</t>
        </is>
      </c>
      <c r="M17" s="9" t="inlineStr">
        <is>
          <t>Desplazamiento Uz del nudo 3 · combinación «C1: 1,0·D + 1,0·Hx»</t>
        </is>
      </c>
      <c r="N17" s="9" t="inlineStr"/>
    </row>
    <row r="18" ht="28" customHeight="1">
      <c r="A18" s="17" t="n">
        <v>4</v>
      </c>
      <c r="B18" s="8" t="inlineStr">
        <is>
          <t>Esfuerzo axil barra 1 (1–2), tracción +</t>
        </is>
      </c>
      <c r="C18" s="17" t="inlineStr">
        <is>
          <t>kN</t>
        </is>
      </c>
      <c r="D18" s="26">
        <f>10</f>
        <v/>
      </c>
      <c r="E18" s="25" t="n">
        <v>10</v>
      </c>
      <c r="F18" s="27">
        <f>E18-D18</f>
        <v/>
      </c>
      <c r="G18" s="28">
        <f>IF(ABS(D18)&gt;0.000000000001,F18/D18,"—")</f>
        <v/>
      </c>
      <c r="H18" s="29" t="n">
        <v>1e-05</v>
      </c>
      <c r="I18" s="30" t="n">
        <v>1e-06</v>
      </c>
      <c r="J18" s="31">
        <f>IF(ABS(F18)&lt;=MAX(H18*ABS(D18),I18),"OK","NO")</f>
        <v/>
      </c>
      <c r="K18" s="32" t="inlineStr">
        <is>
          <t>Publicado</t>
        </is>
      </c>
      <c r="L18" s="9" t="inlineStr">
        <is>
          <t>10</t>
        </is>
      </c>
      <c r="M18" s="9" t="inlineStr">
        <is>
          <t>Barra 1, en x = 0.5·L, esfuerzo axil N (tracción +) · combinación «C1: 1,0·D + 1,0·Hx»</t>
        </is>
      </c>
      <c r="N18" s="9" t="inlineStr"/>
    </row>
    <row r="19" ht="28" customHeight="1">
      <c r="A19" s="17" t="n">
        <v>5</v>
      </c>
      <c r="B19" s="8" t="inlineStr">
        <is>
          <t>Esfuerzo axil barra 2 (1–3)</t>
        </is>
      </c>
      <c r="C19" s="17" t="inlineStr">
        <is>
          <t>kN</t>
        </is>
      </c>
      <c r="D19" s="26">
        <f>10</f>
        <v/>
      </c>
      <c r="E19" s="25" t="n">
        <v>10</v>
      </c>
      <c r="F19" s="27">
        <f>E19-D19</f>
        <v/>
      </c>
      <c r="G19" s="28">
        <f>IF(ABS(D19)&gt;0.000000000001,F19/D19,"—")</f>
        <v/>
      </c>
      <c r="H19" s="29" t="n">
        <v>1e-05</v>
      </c>
      <c r="I19" s="30" t="n">
        <v>1e-06</v>
      </c>
      <c r="J19" s="31">
        <f>IF(ABS(F19)&lt;=MAX(H19*ABS(D19),I19),"OK","NO")</f>
        <v/>
      </c>
      <c r="K19" s="32" t="inlineStr">
        <is>
          <t>Publicado</t>
        </is>
      </c>
      <c r="L19" s="9" t="inlineStr">
        <is>
          <t>10</t>
        </is>
      </c>
      <c r="M19" s="9" t="inlineStr">
        <is>
          <t>Barra 2, en x = 0.5·L, esfuerzo axil N (tracción +) · combinación «C1: 1,0·D + 1,0·Hx»</t>
        </is>
      </c>
      <c r="N19" s="9" t="inlineStr"/>
    </row>
    <row r="20" ht="28" customHeight="1">
      <c r="A20" s="17" t="n">
        <v>6</v>
      </c>
      <c r="B20" s="8" t="inlineStr">
        <is>
          <t>Esfuerzo axil barra 3 (2–3), compresión −</t>
        </is>
      </c>
      <c r="C20" s="17" t="inlineStr">
        <is>
          <t>kN</t>
        </is>
      </c>
      <c r="D20" s="26">
        <f>-14.142136</f>
        <v/>
      </c>
      <c r="E20" s="25" t="n">
        <v>-14.14213562373095</v>
      </c>
      <c r="F20" s="27">
        <f>E20-D20</f>
        <v/>
      </c>
      <c r="G20" s="28">
        <f>IF(ABS(D20)&gt;0.000000000001,F20/D20,"—")</f>
        <v/>
      </c>
      <c r="H20" s="29" t="n">
        <v>1e-05</v>
      </c>
      <c r="I20" s="30" t="n">
        <v>1e-06</v>
      </c>
      <c r="J20" s="31">
        <f>IF(ABS(F20)&lt;=MAX(H20*ABS(D20),I20),"OK","NO")</f>
        <v/>
      </c>
      <c r="K20" s="32" t="inlineStr">
        <is>
          <t>Publicado</t>
        </is>
      </c>
      <c r="L20" s="9" t="inlineStr">
        <is>
          <t>-14.142136</t>
        </is>
      </c>
      <c r="M20" s="9" t="inlineStr">
        <is>
          <t>Barra 3, en x = 0.5·L, esfuerzo axil N (tracción +) · combinación «C1: 1,0·D + 1,0·Hx»</t>
        </is>
      </c>
      <c r="N20" s="9" t="inlineStr"/>
    </row>
    <row r="22">
      <c r="B22" s="4" t="inlineStr">
        <is>
          <t>Comprobaciones dentro de tolerancia</t>
        </is>
      </c>
      <c r="D22" s="4">
        <f>COUNTIF(J15:J20,"OK")</f>
        <v/>
      </c>
      <c r="E22" s="4">
        <f>ROWS(J15:J20)</f>
        <v/>
      </c>
      <c r="F22" s="4">
        <f>IF(D22=E22,"VERIFICA","DIFIERE")</f>
        <v/>
      </c>
    </row>
    <row r="23">
      <c r="B23" s="2" t="inlineStr">
        <is>
          <t>Azul = dato ingresado o valor que entregó el programa (pegado); negro = fórmula de Excel. El valor «Programa» es el resultado del motor de cálculo de la app para el mismo modelo.</t>
        </is>
      </c>
    </row>
  </sheetData>
  <mergeCells count="1">
    <mergeCell ref="A4:L4"/>
  </mergeCells>
  <conditionalFormatting sqref="J15:J20">
    <cfRule type="cellIs" priority="1" operator="equal" dxfId="0">
      <formula>"OK"</formula>
    </cfRule>
    <cfRule type="cellIs" priority="2" operator="equal" dxfId="1">
      <formula>"NO"</formula>
    </cfRule>
  </conditionalFormatting>
  <hyperlinks>
    <hyperlink xmlns:r="http://schemas.openxmlformats.org/officeDocument/2006/relationships" ref="A3" r:id="rId1"/>
  </hyperlink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N26"/>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A02 · Cercha plana de 5 barras (cuadrado con diagonal)</t>
        </is>
      </c>
    </row>
    <row r="2">
      <c r="A2" s="2" t="inlineStr">
        <is>
          <t>Resultado publicado.  Fuente: Prof. R. Austin, Univ. de Maryland, ENCE 353 · «Direct Stiffness Method» (apuntes de cátedra)</t>
        </is>
      </c>
    </row>
    <row r="3">
      <c r="A3" s="21" t="inlineStr">
        <is>
          <t>https://user.eng.umd.edu/~austin/ence353.d/lecture-material2025/direct-stiffness-method.pdf</t>
        </is>
      </c>
    </row>
    <row r="4" ht="30" customHeight="1">
      <c r="A4" s="14" t="inlineStr">
        <is>
          <t>Enunciado. Cuadrado de lado 10 en el plano XZ con 5 barras: los cuatro lados (1–2, 1–3, 2–4 y 3–4) y la diagonal 1–4. Nudo 1 articulado, nudo 2 con apoyo móvil vertical. Cargas: 10 horizontal en el nudo 3 y 10 hacia abajo en el nudo 4. E = A = 1.</t>
        </is>
      </c>
    </row>
    <row r="6">
      <c r="A6" s="22" t="inlineStr">
        <is>
          <t>DATOS DEL EJERCICIO</t>
        </is>
      </c>
      <c r="B6" s="22" t="n"/>
      <c r="C6" s="22" t="n"/>
      <c r="D6" s="22" t="n"/>
      <c r="E6" s="22" t="n"/>
      <c r="F6" s="22" t="n"/>
      <c r="G6" s="22" t="n"/>
      <c r="H6" s="22" t="n"/>
      <c r="I6" s="22" t="n"/>
      <c r="J6" s="22" t="n"/>
      <c r="K6" s="22" t="n"/>
      <c r="L6" s="22" t="n"/>
      <c r="M6" s="22" t="n"/>
      <c r="N6" s="22" t="n"/>
    </row>
    <row r="7">
      <c r="A7" s="5" t="inlineStr">
        <is>
          <t>#</t>
        </is>
      </c>
      <c r="B7" s="5" t="inlineStr">
        <is>
          <t>Dato</t>
        </is>
      </c>
      <c r="C7" s="5" t="inlineStr">
        <is>
          <t>Unidad</t>
        </is>
      </c>
      <c r="D7" s="5" t="inlineStr">
        <is>
          <t>Valor</t>
        </is>
      </c>
      <c r="K7" s="5" t="inlineStr">
        <is>
          <t>Símbolo</t>
        </is>
      </c>
      <c r="L7" s="5" t="inlineStr">
        <is>
          <t>Fórmula (texto)</t>
        </is>
      </c>
    </row>
    <row r="8">
      <c r="A8" s="17" t="n">
        <v>1</v>
      </c>
      <c r="B8" s="8" t="inlineStr">
        <is>
          <t>Módulo elástico adoptado (EA = 1000 N)</t>
        </is>
      </c>
      <c r="C8" s="17" t="inlineStr">
        <is>
          <t>MPa</t>
        </is>
      </c>
      <c r="D8" s="23" t="n">
        <v>1000</v>
      </c>
      <c r="K8" s="17" t="inlineStr">
        <is>
          <t>E</t>
        </is>
      </c>
      <c r="L8" s="24" t="inlineStr">
        <is>
          <t>dato ingresado</t>
        </is>
      </c>
    </row>
    <row r="9">
      <c r="A9" s="17" t="n">
        <v>2</v>
      </c>
      <c r="B9" s="8" t="inlineStr">
        <is>
          <t>Área de cada barra (la fuente adopta E = A = 1)</t>
        </is>
      </c>
      <c r="C9" s="17" t="inlineStr">
        <is>
          <t>mm²</t>
        </is>
      </c>
      <c r="D9" s="25" t="n">
        <v>1</v>
      </c>
      <c r="K9" s="17" t="inlineStr">
        <is>
          <t>A</t>
        </is>
      </c>
      <c r="L9" s="24" t="inlineStr">
        <is>
          <t>dato ingresado</t>
        </is>
      </c>
    </row>
    <row r="10">
      <c r="A10" s="17" t="n">
        <v>3</v>
      </c>
      <c r="B10" s="8" t="inlineStr">
        <is>
          <t>Carga de la fuente (valor 10)</t>
        </is>
      </c>
      <c r="C10" s="17" t="inlineStr">
        <is>
          <t>kN</t>
        </is>
      </c>
      <c r="D10" s="25" t="n">
        <v>10</v>
      </c>
      <c r="K10" s="17" t="inlineStr">
        <is>
          <t>F</t>
        </is>
      </c>
      <c r="L10" s="24" t="inlineStr">
        <is>
          <t>dato ingresado</t>
        </is>
      </c>
    </row>
    <row r="11">
      <c r="A11" s="17" t="n">
        <v>4</v>
      </c>
      <c r="B11" s="8" t="inlineStr">
        <is>
          <t>Lado del cuadrado de la fuente (valor 10)</t>
        </is>
      </c>
      <c r="C11" s="17" t="inlineStr">
        <is>
          <t>mm</t>
        </is>
      </c>
      <c r="D11" s="25" t="n">
        <v>10</v>
      </c>
      <c r="K11" s="17" t="inlineStr">
        <is>
          <t>a</t>
        </is>
      </c>
      <c r="L11" s="24" t="inlineStr">
        <is>
          <t>dato ingresado</t>
        </is>
      </c>
    </row>
    <row r="13">
      <c r="A13" s="22" t="inlineStr">
        <is>
          <t>COMPARACIÓN: TEORÍA / DATO PUBLICADO  vs  PROGRAMA (Atlas Estructuras 3D)</t>
        </is>
      </c>
      <c r="B13" s="22" t="n"/>
      <c r="C13" s="22" t="n"/>
      <c r="D13" s="22" t="n"/>
      <c r="E13" s="22" t="n"/>
      <c r="F13" s="22" t="n"/>
      <c r="G13" s="22" t="n"/>
      <c r="H13" s="22" t="n"/>
      <c r="I13" s="22" t="n"/>
      <c r="J13" s="22" t="n"/>
      <c r="K13" s="22" t="n"/>
      <c r="L13" s="22" t="n"/>
      <c r="M13" s="22" t="n"/>
      <c r="N13" s="22" t="n"/>
    </row>
    <row r="14" ht="30" customHeight="1">
      <c r="A14" s="5" t="inlineStr">
        <is>
          <t>#</t>
        </is>
      </c>
      <c r="B14" s="5" t="inlineStr">
        <is>
          <t>Comprobación</t>
        </is>
      </c>
      <c r="C14" s="5" t="inlineStr">
        <is>
          <t>Unidad</t>
        </is>
      </c>
      <c r="D14" s="5" t="inlineStr">
        <is>
          <t>Teoría / publicado</t>
        </is>
      </c>
      <c r="E14" s="5" t="inlineStr">
        <is>
          <t>Programa</t>
        </is>
      </c>
      <c r="F14" s="5" t="inlineStr">
        <is>
          <t>Diferencia (prog. − teoría)</t>
        </is>
      </c>
      <c r="G14" s="5" t="inlineStr">
        <is>
          <t>Error relativo</t>
        </is>
      </c>
      <c r="H14" s="5" t="inlineStr">
        <is>
          <t>Tol. relativa</t>
        </is>
      </c>
      <c r="I14" s="5" t="inlineStr">
        <is>
          <t>Tol. absoluta</t>
        </is>
      </c>
      <c r="J14" s="5" t="inlineStr">
        <is>
          <t>Estado</t>
        </is>
      </c>
      <c r="K14" s="5" t="inlineStr">
        <is>
          <t>Origen</t>
        </is>
      </c>
      <c r="L14" s="5" t="inlineStr">
        <is>
          <t>Expresión de la teoría (texto)</t>
        </is>
      </c>
      <c r="M14" s="5" t="inlineStr">
        <is>
          <t>Dónde se lee en el programa</t>
        </is>
      </c>
      <c r="N14" s="5" t="inlineStr">
        <is>
          <t>Nota</t>
        </is>
      </c>
    </row>
    <row r="15" ht="28" customHeight="1">
      <c r="A15" s="17" t="n">
        <v>1</v>
      </c>
      <c r="B15" s="8" t="inlineStr">
        <is>
          <t>Desplazamiento horizontal del nudo 3</t>
        </is>
      </c>
      <c r="C15" s="17" t="inlineStr">
        <is>
          <t>mm</t>
        </is>
      </c>
      <c r="D15" s="26">
        <f>582.843</f>
        <v/>
      </c>
      <c r="E15" s="25" t="n">
        <v>582.8427124746189</v>
      </c>
      <c r="F15" s="27">
        <f>E15-D15</f>
        <v/>
      </c>
      <c r="G15" s="28">
        <f>IF(ABS(D15)&gt;0.000000000001,F15/D15,"—")</f>
        <v/>
      </c>
      <c r="H15" s="29" t="n">
        <v>2e-06</v>
      </c>
      <c r="I15" s="30" t="n">
        <v>1e-06</v>
      </c>
      <c r="J15" s="31">
        <f>IF(ABS(F15)&lt;=MAX(H15*ABS(D15),I15),"OK","NO")</f>
        <v/>
      </c>
      <c r="K15" s="32" t="inlineStr">
        <is>
          <t>Publicado</t>
        </is>
      </c>
      <c r="L15" s="9" t="inlineStr">
        <is>
          <t>582.843</t>
        </is>
      </c>
      <c r="M15" s="9" t="inlineStr">
        <is>
          <t>Desplazamiento Ux del nudo 3 · combinación «C1: 1,0·D + 1,0·Hx»</t>
        </is>
      </c>
      <c r="N15" s="9" t="inlineStr"/>
    </row>
    <row r="16" ht="28" customHeight="1">
      <c r="A16" s="17" t="n">
        <v>2</v>
      </c>
      <c r="B16" s="8" t="inlineStr">
        <is>
          <t>Desplazamiento vertical del nudo 3</t>
        </is>
      </c>
      <c r="C16" s="17" t="inlineStr">
        <is>
          <t>mm</t>
        </is>
      </c>
      <c r="D16" s="33">
        <f>0</f>
        <v/>
      </c>
      <c r="E16" s="34" t="n">
        <v>1.77635683940025e-15</v>
      </c>
      <c r="F16" s="27">
        <f>E16-D16</f>
        <v/>
      </c>
      <c r="G16" s="28">
        <f>IF(ABS(D16)&gt;0.000000000001,F16/D16,"—")</f>
        <v/>
      </c>
      <c r="H16" s="29" t="n">
        <v>1e-05</v>
      </c>
      <c r="I16" s="30" t="n">
        <v>1e-06</v>
      </c>
      <c r="J16" s="31">
        <f>IF(ABS(F16)&lt;=MAX(H16*ABS(D16),I16),"OK","NO")</f>
        <v/>
      </c>
      <c r="K16" s="32" t="inlineStr">
        <is>
          <t>Publicado</t>
        </is>
      </c>
      <c r="L16" s="9" t="inlineStr">
        <is>
          <t>0</t>
        </is>
      </c>
      <c r="M16" s="9" t="inlineStr">
        <is>
          <t>Desplazamiento Uz del nudo 3 · combinación «C1: 1,0·D + 1,0·Hx»</t>
        </is>
      </c>
      <c r="N16" s="9" t="inlineStr"/>
    </row>
    <row r="17" ht="28" customHeight="1">
      <c r="A17" s="17" t="n">
        <v>3</v>
      </c>
      <c r="B17" s="8" t="inlineStr">
        <is>
          <t>Desplazamiento horizontal del nudo 4</t>
        </is>
      </c>
      <c r="C17" s="17" t="inlineStr">
        <is>
          <t>mm</t>
        </is>
      </c>
      <c r="D17" s="26">
        <f>482.843</f>
        <v/>
      </c>
      <c r="E17" s="25" t="n">
        <v>482.842712474619</v>
      </c>
      <c r="F17" s="27">
        <f>E17-D17</f>
        <v/>
      </c>
      <c r="G17" s="28">
        <f>IF(ABS(D17)&gt;0.000000000001,F17/D17,"—")</f>
        <v/>
      </c>
      <c r="H17" s="29" t="n">
        <v>2e-06</v>
      </c>
      <c r="I17" s="30" t="n">
        <v>1e-06</v>
      </c>
      <c r="J17" s="31">
        <f>IF(ABS(F17)&lt;=MAX(H17*ABS(D17),I17),"OK","NO")</f>
        <v/>
      </c>
      <c r="K17" s="32" t="inlineStr">
        <is>
          <t>Publicado</t>
        </is>
      </c>
      <c r="L17" s="9" t="inlineStr">
        <is>
          <t>482.843</t>
        </is>
      </c>
      <c r="M17" s="9" t="inlineStr">
        <is>
          <t>Desplazamiento Ux del nudo 4 · combinación «C1: 1,0·D + 1,0·Hx»</t>
        </is>
      </c>
      <c r="N17" s="9" t="inlineStr"/>
    </row>
    <row r="18" ht="28" customHeight="1">
      <c r="A18" s="17" t="n">
        <v>4</v>
      </c>
      <c r="B18" s="8" t="inlineStr">
        <is>
          <t>Desplazamiento vertical del nudo 4</t>
        </is>
      </c>
      <c r="C18" s="17" t="inlineStr">
        <is>
          <t>mm</t>
        </is>
      </c>
      <c r="D18" s="26">
        <f>-200</f>
        <v/>
      </c>
      <c r="E18" s="25" t="n">
        <v>-200</v>
      </c>
      <c r="F18" s="27">
        <f>E18-D18</f>
        <v/>
      </c>
      <c r="G18" s="28">
        <f>IF(ABS(D18)&gt;0.000000000001,F18/D18,"—")</f>
        <v/>
      </c>
      <c r="H18" s="29" t="n">
        <v>1e-05</v>
      </c>
      <c r="I18" s="30" t="n">
        <v>1e-06</v>
      </c>
      <c r="J18" s="31">
        <f>IF(ABS(F18)&lt;=MAX(H18*ABS(D18),I18),"OK","NO")</f>
        <v/>
      </c>
      <c r="K18" s="32" t="inlineStr">
        <is>
          <t>Publicado</t>
        </is>
      </c>
      <c r="L18" s="9" t="inlineStr">
        <is>
          <t>-200</t>
        </is>
      </c>
      <c r="M18" s="9" t="inlineStr">
        <is>
          <t>Desplazamiento Uz del nudo 4 · combinación «C1: 1,0·D + 1,0·Hx»</t>
        </is>
      </c>
      <c r="N18" s="9" t="inlineStr"/>
    </row>
    <row r="19" ht="28" customHeight="1">
      <c r="A19" s="17" t="n">
        <v>5</v>
      </c>
      <c r="B19" s="8" t="inlineStr">
        <is>
          <t>Axil barra 1 (1–2)</t>
        </is>
      </c>
      <c r="C19" s="17" t="inlineStr">
        <is>
          <t>kN</t>
        </is>
      </c>
      <c r="D19" s="33">
        <f>0</f>
        <v/>
      </c>
      <c r="E19" s="34" t="n">
        <v>-4.28850477329429e-16</v>
      </c>
      <c r="F19" s="27">
        <f>E19-D19</f>
        <v/>
      </c>
      <c r="G19" s="28">
        <f>IF(ABS(D19)&gt;0.000000000001,F19/D19,"—")</f>
        <v/>
      </c>
      <c r="H19" s="29" t="n">
        <v>1e-05</v>
      </c>
      <c r="I19" s="30" t="n">
        <v>1e-06</v>
      </c>
      <c r="J19" s="31">
        <f>IF(ABS(F19)&lt;=MAX(H19*ABS(D19),I19),"OK","NO")</f>
        <v/>
      </c>
      <c r="K19" s="32" t="inlineStr">
        <is>
          <t>Publicado</t>
        </is>
      </c>
      <c r="L19" s="9" t="inlineStr">
        <is>
          <t>0</t>
        </is>
      </c>
      <c r="M19" s="9" t="inlineStr">
        <is>
          <t>Barra 1, en x = 0.5·L, esfuerzo axil N (tracción +) · combinación «C1: 1,0·D + 1,0·Hx»</t>
        </is>
      </c>
      <c r="N19" s="9" t="inlineStr"/>
    </row>
    <row r="20" ht="28" customHeight="1">
      <c r="A20" s="17" t="n">
        <v>6</v>
      </c>
      <c r="B20" s="8" t="inlineStr">
        <is>
          <t>Axil barra 2 (1–3)</t>
        </is>
      </c>
      <c r="C20" s="17" t="inlineStr">
        <is>
          <t>kN</t>
        </is>
      </c>
      <c r="D20" s="33">
        <f>0</f>
        <v/>
      </c>
      <c r="E20" s="34" t="n">
        <v>1.77635683940025e-16</v>
      </c>
      <c r="F20" s="27">
        <f>E20-D20</f>
        <v/>
      </c>
      <c r="G20" s="28">
        <f>IF(ABS(D20)&gt;0.000000000001,F20/D20,"—")</f>
        <v/>
      </c>
      <c r="H20" s="29" t="n">
        <v>1e-05</v>
      </c>
      <c r="I20" s="30" t="n">
        <v>1e-06</v>
      </c>
      <c r="J20" s="31">
        <f>IF(ABS(F20)&lt;=MAX(H20*ABS(D20),I20),"OK","NO")</f>
        <v/>
      </c>
      <c r="K20" s="32" t="inlineStr">
        <is>
          <t>Publicado</t>
        </is>
      </c>
      <c r="L20" s="9" t="inlineStr">
        <is>
          <t>0</t>
        </is>
      </c>
      <c r="M20" s="9" t="inlineStr">
        <is>
          <t>Barra 2, en x = 0.5·L, esfuerzo axil N (tracción +) · combinación «C1: 1,0·D + 1,0·Hx»</t>
        </is>
      </c>
      <c r="N20" s="9" t="inlineStr"/>
    </row>
    <row r="21" ht="28" customHeight="1">
      <c r="A21" s="17" t="n">
        <v>7</v>
      </c>
      <c r="B21" s="8" t="inlineStr">
        <is>
          <t>Axil barra 3 (2–4)</t>
        </is>
      </c>
      <c r="C21" s="17" t="inlineStr">
        <is>
          <t>kN</t>
        </is>
      </c>
      <c r="D21" s="26">
        <f>-20</f>
        <v/>
      </c>
      <c r="E21" s="25" t="n">
        <v>-20</v>
      </c>
      <c r="F21" s="27">
        <f>E21-D21</f>
        <v/>
      </c>
      <c r="G21" s="28">
        <f>IF(ABS(D21)&gt;0.000000000001,F21/D21,"—")</f>
        <v/>
      </c>
      <c r="H21" s="29" t="n">
        <v>1e-05</v>
      </c>
      <c r="I21" s="30" t="n">
        <v>1e-06</v>
      </c>
      <c r="J21" s="31">
        <f>IF(ABS(F21)&lt;=MAX(H21*ABS(D21),I21),"OK","NO")</f>
        <v/>
      </c>
      <c r="K21" s="32" t="inlineStr">
        <is>
          <t>Publicado</t>
        </is>
      </c>
      <c r="L21" s="9" t="inlineStr">
        <is>
          <t>-20</t>
        </is>
      </c>
      <c r="M21" s="9" t="inlineStr">
        <is>
          <t>Barra 3, en x = 0.5·L, esfuerzo axil N (tracción +) · combinación «C1: 1,0·D + 1,0·Hx»</t>
        </is>
      </c>
      <c r="N21" s="9" t="inlineStr"/>
    </row>
    <row r="22" ht="28" customHeight="1">
      <c r="A22" s="17" t="n">
        <v>8</v>
      </c>
      <c r="B22" s="8" t="inlineStr">
        <is>
          <t>Axil barra 4 (3–4)</t>
        </is>
      </c>
      <c r="C22" s="17" t="inlineStr">
        <is>
          <t>kN</t>
        </is>
      </c>
      <c r="D22" s="26">
        <f>-10</f>
        <v/>
      </c>
      <c r="E22" s="25" t="n">
        <v>-9.999999999999993</v>
      </c>
      <c r="F22" s="27">
        <f>E22-D22</f>
        <v/>
      </c>
      <c r="G22" s="28">
        <f>IF(ABS(D22)&gt;0.000000000001,F22/D22,"—")</f>
        <v/>
      </c>
      <c r="H22" s="29" t="n">
        <v>1e-05</v>
      </c>
      <c r="I22" s="30" t="n">
        <v>1e-06</v>
      </c>
      <c r="J22" s="31">
        <f>IF(ABS(F22)&lt;=MAX(H22*ABS(D22),I22),"OK","NO")</f>
        <v/>
      </c>
      <c r="K22" s="32" t="inlineStr">
        <is>
          <t>Publicado</t>
        </is>
      </c>
      <c r="L22" s="9" t="inlineStr">
        <is>
          <t>-10</t>
        </is>
      </c>
      <c r="M22" s="9" t="inlineStr">
        <is>
          <t>Barra 4, en x = 0.5·L, esfuerzo axil N (tracción +) · combinación «C1: 1,0·D + 1,0·Hx»</t>
        </is>
      </c>
      <c r="N22" s="9" t="inlineStr"/>
    </row>
    <row r="23" ht="28" customHeight="1">
      <c r="A23" s="17" t="n">
        <v>9</v>
      </c>
      <c r="B23" s="8" t="inlineStr">
        <is>
          <t>Axil barra 5 (diagonal 1–4)</t>
        </is>
      </c>
      <c r="C23" s="17" t="inlineStr">
        <is>
          <t>kN</t>
        </is>
      </c>
      <c r="D23" s="26">
        <f>14.142136</f>
        <v/>
      </c>
      <c r="E23" s="25" t="n">
        <v>14.14213562373095</v>
      </c>
      <c r="F23" s="27">
        <f>E23-D23</f>
        <v/>
      </c>
      <c r="G23" s="28">
        <f>IF(ABS(D23)&gt;0.000000000001,F23/D23,"—")</f>
        <v/>
      </c>
      <c r="H23" s="29" t="n">
        <v>1e-05</v>
      </c>
      <c r="I23" s="30" t="n">
        <v>1e-06</v>
      </c>
      <c r="J23" s="31">
        <f>IF(ABS(F23)&lt;=MAX(H23*ABS(D23),I23),"OK","NO")</f>
        <v/>
      </c>
      <c r="K23" s="32" t="inlineStr">
        <is>
          <t>Publicado</t>
        </is>
      </c>
      <c r="L23" s="9" t="inlineStr">
        <is>
          <t>14.142136</t>
        </is>
      </c>
      <c r="M23" s="9" t="inlineStr">
        <is>
          <t>Barra 5, en x = 0.5·L, esfuerzo axil N (tracción +) · combinación «C1: 1,0·D + 1,0·Hx»</t>
        </is>
      </c>
      <c r="N23" s="9" t="inlineStr"/>
    </row>
    <row r="25">
      <c r="B25" s="4" t="inlineStr">
        <is>
          <t>Comprobaciones dentro de tolerancia</t>
        </is>
      </c>
      <c r="D25" s="4">
        <f>COUNTIF(J15:J23,"OK")</f>
        <v/>
      </c>
      <c r="E25" s="4">
        <f>ROWS(J15:J23)</f>
        <v/>
      </c>
      <c r="F25" s="4">
        <f>IF(D25=E25,"VERIFICA","DIFIERE")</f>
        <v/>
      </c>
    </row>
    <row r="26">
      <c r="B26" s="2" t="inlineStr">
        <is>
          <t>Azul = dato ingresado o valor que entregó el programa (pegado); negro = fórmula de Excel. El valor «Programa» es el resultado del motor de cálculo de la app para el mismo modelo.</t>
        </is>
      </c>
    </row>
  </sheetData>
  <mergeCells count="1">
    <mergeCell ref="A4:L4"/>
  </mergeCells>
  <conditionalFormatting sqref="J15:J23">
    <cfRule type="cellIs" priority="1" operator="equal" dxfId="0">
      <formula>"OK"</formula>
    </cfRule>
    <cfRule type="cellIs" priority="2" operator="equal" dxfId="1">
      <formula>"NO"</formula>
    </cfRule>
  </conditionalFormatting>
  <hyperlinks>
    <hyperlink xmlns:r="http://schemas.openxmlformats.org/officeDocument/2006/relationships" ref="A3" r:id="rId1"/>
  </hyperlink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N28"/>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A03 · Cercha plana de 6 barras (cuadrado con dos diagonales)</t>
        </is>
      </c>
    </row>
    <row r="2">
      <c r="A2" s="2" t="inlineStr">
        <is>
          <t>Resultado publicado.  Fuente: Prof. R. Austin, Univ. de Maryland, ENCE 353 · «Direct Stiffness Method» (apuntes de cátedra)</t>
        </is>
      </c>
    </row>
    <row r="3">
      <c r="A3" s="21" t="inlineStr">
        <is>
          <t>https://user.eng.umd.edu/~austin/ence353.d/lecture-material2025/direct-stiffness-method.pdf</t>
        </is>
      </c>
    </row>
    <row r="4" ht="30" customHeight="1">
      <c r="A4" s="14" t="inlineStr">
        <is>
          <t>Enunciado. Igual al ejercicio A02 con una segunda diagonal 2–3 (seis barras). Mismos apoyos, cargas y E = A = 1. Se comparan los desplazamientos y los esfuerzos axiles publicados (la fuente trunca los axiles a dos decimales).</t>
        </is>
      </c>
    </row>
    <row r="6">
      <c r="A6" s="22" t="inlineStr">
        <is>
          <t>DATOS DEL EJERCICIO</t>
        </is>
      </c>
      <c r="B6" s="22" t="n"/>
      <c r="C6" s="22" t="n"/>
      <c r="D6" s="22" t="n"/>
      <c r="E6" s="22" t="n"/>
      <c r="F6" s="22" t="n"/>
      <c r="G6" s="22" t="n"/>
      <c r="H6" s="22" t="n"/>
      <c r="I6" s="22" t="n"/>
      <c r="J6" s="22" t="n"/>
      <c r="K6" s="22" t="n"/>
      <c r="L6" s="22" t="n"/>
      <c r="M6" s="22" t="n"/>
      <c r="N6" s="22" t="n"/>
    </row>
    <row r="7">
      <c r="A7" s="5" t="inlineStr">
        <is>
          <t>#</t>
        </is>
      </c>
      <c r="B7" s="5" t="inlineStr">
        <is>
          <t>Dato</t>
        </is>
      </c>
      <c r="C7" s="5" t="inlineStr">
        <is>
          <t>Unidad</t>
        </is>
      </c>
      <c r="D7" s="5" t="inlineStr">
        <is>
          <t>Valor</t>
        </is>
      </c>
      <c r="K7" s="5" t="inlineStr">
        <is>
          <t>Símbolo</t>
        </is>
      </c>
      <c r="L7" s="5" t="inlineStr">
        <is>
          <t>Fórmula (texto)</t>
        </is>
      </c>
    </row>
    <row r="8">
      <c r="A8" s="17" t="n">
        <v>1</v>
      </c>
      <c r="B8" s="8" t="inlineStr">
        <is>
          <t>Módulo elástico adoptado (EA = 1000 N)</t>
        </is>
      </c>
      <c r="C8" s="17" t="inlineStr">
        <is>
          <t>MPa</t>
        </is>
      </c>
      <c r="D8" s="23" t="n">
        <v>1000</v>
      </c>
      <c r="K8" s="17" t="inlineStr">
        <is>
          <t>E</t>
        </is>
      </c>
      <c r="L8" s="24" t="inlineStr">
        <is>
          <t>dato ingresado</t>
        </is>
      </c>
    </row>
    <row r="9">
      <c r="A9" s="17" t="n">
        <v>2</v>
      </c>
      <c r="B9" s="8" t="inlineStr">
        <is>
          <t>Área de cada barra (la fuente adopta E = A = 1)</t>
        </is>
      </c>
      <c r="C9" s="17" t="inlineStr">
        <is>
          <t>mm²</t>
        </is>
      </c>
      <c r="D9" s="25" t="n">
        <v>1</v>
      </c>
      <c r="K9" s="17" t="inlineStr">
        <is>
          <t>A</t>
        </is>
      </c>
      <c r="L9" s="24" t="inlineStr">
        <is>
          <t>dato ingresado</t>
        </is>
      </c>
    </row>
    <row r="10">
      <c r="A10" s="17" t="n">
        <v>3</v>
      </c>
      <c r="B10" s="8" t="inlineStr">
        <is>
          <t>Carga de la fuente (valor 10)</t>
        </is>
      </c>
      <c r="C10" s="17" t="inlineStr">
        <is>
          <t>kN</t>
        </is>
      </c>
      <c r="D10" s="25" t="n">
        <v>10</v>
      </c>
      <c r="K10" s="17" t="inlineStr">
        <is>
          <t>F</t>
        </is>
      </c>
      <c r="L10" s="24" t="inlineStr">
        <is>
          <t>dato ingresado</t>
        </is>
      </c>
    </row>
    <row r="11">
      <c r="A11" s="17" t="n">
        <v>4</v>
      </c>
      <c r="B11" s="8" t="inlineStr">
        <is>
          <t>Lado del cuadrado de la fuente (valor 10)</t>
        </is>
      </c>
      <c r="C11" s="17" t="inlineStr">
        <is>
          <t>mm</t>
        </is>
      </c>
      <c r="D11" s="25" t="n">
        <v>10</v>
      </c>
      <c r="K11" s="17" t="inlineStr">
        <is>
          <t>a</t>
        </is>
      </c>
      <c r="L11" s="24" t="inlineStr">
        <is>
          <t>dato ingresado</t>
        </is>
      </c>
    </row>
    <row r="13">
      <c r="A13" s="22" t="inlineStr">
        <is>
          <t>COMPARACIÓN: TEORÍA / DATO PUBLICADO  vs  PROGRAMA (Atlas Estructuras 3D)</t>
        </is>
      </c>
      <c r="B13" s="22" t="n"/>
      <c r="C13" s="22" t="n"/>
      <c r="D13" s="22" t="n"/>
      <c r="E13" s="22" t="n"/>
      <c r="F13" s="22" t="n"/>
      <c r="G13" s="22" t="n"/>
      <c r="H13" s="22" t="n"/>
      <c r="I13" s="22" t="n"/>
      <c r="J13" s="22" t="n"/>
      <c r="K13" s="22" t="n"/>
      <c r="L13" s="22" t="n"/>
      <c r="M13" s="22" t="n"/>
      <c r="N13" s="22" t="n"/>
    </row>
    <row r="14" ht="30" customHeight="1">
      <c r="A14" s="5" t="inlineStr">
        <is>
          <t>#</t>
        </is>
      </c>
      <c r="B14" s="5" t="inlineStr">
        <is>
          <t>Comprobación</t>
        </is>
      </c>
      <c r="C14" s="5" t="inlineStr">
        <is>
          <t>Unidad</t>
        </is>
      </c>
      <c r="D14" s="5" t="inlineStr">
        <is>
          <t>Teoría / publicado</t>
        </is>
      </c>
      <c r="E14" s="5" t="inlineStr">
        <is>
          <t>Programa</t>
        </is>
      </c>
      <c r="F14" s="5" t="inlineStr">
        <is>
          <t>Diferencia (prog. − teoría)</t>
        </is>
      </c>
      <c r="G14" s="5" t="inlineStr">
        <is>
          <t>Error relativo</t>
        </is>
      </c>
      <c r="H14" s="5" t="inlineStr">
        <is>
          <t>Tol. relativa</t>
        </is>
      </c>
      <c r="I14" s="5" t="inlineStr">
        <is>
          <t>Tol. absoluta</t>
        </is>
      </c>
      <c r="J14" s="5" t="inlineStr">
        <is>
          <t>Estado</t>
        </is>
      </c>
      <c r="K14" s="5" t="inlineStr">
        <is>
          <t>Origen</t>
        </is>
      </c>
      <c r="L14" s="5" t="inlineStr">
        <is>
          <t>Expresión de la teoría (texto)</t>
        </is>
      </c>
      <c r="M14" s="5" t="inlineStr">
        <is>
          <t>Dónde se lee en el programa</t>
        </is>
      </c>
      <c r="N14" s="5" t="inlineStr">
        <is>
          <t>Nota</t>
        </is>
      </c>
    </row>
    <row r="15" ht="28" customHeight="1">
      <c r="A15" s="17" t="n">
        <v>1</v>
      </c>
      <c r="B15" s="8" t="inlineStr">
        <is>
          <t>Desplazamiento horizontal del nudo 2</t>
        </is>
      </c>
      <c r="C15" s="17" t="inlineStr">
        <is>
          <t>mm</t>
        </is>
      </c>
      <c r="D15" s="26">
        <f>60.3553</f>
        <v/>
      </c>
      <c r="E15" s="25" t="n">
        <v>60.35533905932736</v>
      </c>
      <c r="F15" s="27">
        <f>E15-D15</f>
        <v/>
      </c>
      <c r="G15" s="28">
        <f>IF(ABS(D15)&gt;0.000000000001,F15/D15,"—")</f>
        <v/>
      </c>
      <c r="H15" s="29" t="n">
        <v>2e-06</v>
      </c>
      <c r="I15" s="30" t="n">
        <v>1e-06</v>
      </c>
      <c r="J15" s="31">
        <f>IF(ABS(F15)&lt;=MAX(H15*ABS(D15),I15),"OK","NO")</f>
        <v/>
      </c>
      <c r="K15" s="32" t="inlineStr">
        <is>
          <t>Publicado</t>
        </is>
      </c>
      <c r="L15" s="9" t="inlineStr">
        <is>
          <t>60.3553</t>
        </is>
      </c>
      <c r="M15" s="9" t="inlineStr">
        <is>
          <t>Desplazamiento Ux del nudo 2 · combinación «C1: 1,0·D + 1,0·Hx»</t>
        </is>
      </c>
      <c r="N15" s="9" t="inlineStr"/>
    </row>
    <row r="16" ht="28" customHeight="1">
      <c r="A16" s="17" t="n">
        <v>2</v>
      </c>
      <c r="B16" s="8" t="inlineStr">
        <is>
          <t>Desplazamiento horizontal del nudo 3</t>
        </is>
      </c>
      <c r="C16" s="17" t="inlineStr">
        <is>
          <t>mm</t>
        </is>
      </c>
      <c r="D16" s="26">
        <f>291.421</f>
        <v/>
      </c>
      <c r="E16" s="25" t="n">
        <v>291.4213562373095</v>
      </c>
      <c r="F16" s="27">
        <f>E16-D16</f>
        <v/>
      </c>
      <c r="G16" s="28">
        <f>IF(ABS(D16)&gt;0.000000000001,F16/D16,"—")</f>
        <v/>
      </c>
      <c r="H16" s="29" t="n">
        <v>5e-06</v>
      </c>
      <c r="I16" s="30" t="n">
        <v>1e-06</v>
      </c>
      <c r="J16" s="31">
        <f>IF(ABS(F16)&lt;=MAX(H16*ABS(D16),I16),"OK","NO")</f>
        <v/>
      </c>
      <c r="K16" s="32" t="inlineStr">
        <is>
          <t>Publicado</t>
        </is>
      </c>
      <c r="L16" s="9" t="inlineStr">
        <is>
          <t>291.421</t>
        </is>
      </c>
      <c r="M16" s="9" t="inlineStr">
        <is>
          <t>Desplazamiento Ux del nudo 3 · combinación «C1: 1,0·D + 1,0·Hx»</t>
        </is>
      </c>
      <c r="N16" s="9" t="inlineStr"/>
    </row>
    <row r="17" ht="28" customHeight="1">
      <c r="A17" s="17" t="n">
        <v>3</v>
      </c>
      <c r="B17" s="8" t="inlineStr">
        <is>
          <t>Desplazamiento vertical del nudo 3</t>
        </is>
      </c>
      <c r="C17" s="17" t="inlineStr">
        <is>
          <t>mm</t>
        </is>
      </c>
      <c r="D17" s="26">
        <f>60.3553</f>
        <v/>
      </c>
      <c r="E17" s="25" t="n">
        <v>60.35533905932735</v>
      </c>
      <c r="F17" s="27">
        <f>E17-D17</f>
        <v/>
      </c>
      <c r="G17" s="28">
        <f>IF(ABS(D17)&gt;0.000000000001,F17/D17,"—")</f>
        <v/>
      </c>
      <c r="H17" s="29" t="n">
        <v>2e-06</v>
      </c>
      <c r="I17" s="30" t="n">
        <v>1e-06</v>
      </c>
      <c r="J17" s="31">
        <f>IF(ABS(F17)&lt;=MAX(H17*ABS(D17),I17),"OK","NO")</f>
        <v/>
      </c>
      <c r="K17" s="32" t="inlineStr">
        <is>
          <t>Publicado</t>
        </is>
      </c>
      <c r="L17" s="9" t="inlineStr">
        <is>
          <t>60.3553</t>
        </is>
      </c>
      <c r="M17" s="9" t="inlineStr">
        <is>
          <t>Desplazamiento Uz del nudo 3 · combinación «C1: 1,0·D + 1,0·Hx»</t>
        </is>
      </c>
      <c r="N17" s="9" t="inlineStr"/>
    </row>
    <row r="18" ht="28" customHeight="1">
      <c r="A18" s="17" t="n">
        <v>4</v>
      </c>
      <c r="B18" s="8" t="inlineStr">
        <is>
          <t>Desplazamiento horizontal del nudo 4</t>
        </is>
      </c>
      <c r="C18" s="17" t="inlineStr">
        <is>
          <t>mm</t>
        </is>
      </c>
      <c r="D18" s="26">
        <f>251.777</f>
        <v/>
      </c>
      <c r="E18" s="25" t="n">
        <v>251.7766952966368</v>
      </c>
      <c r="F18" s="27">
        <f>E18-D18</f>
        <v/>
      </c>
      <c r="G18" s="28">
        <f>IF(ABS(D18)&gt;0.000000000001,F18/D18,"—")</f>
        <v/>
      </c>
      <c r="H18" s="29" t="n">
        <v>5e-06</v>
      </c>
      <c r="I18" s="30" t="n">
        <v>1e-06</v>
      </c>
      <c r="J18" s="31">
        <f>IF(ABS(F18)&lt;=MAX(H18*ABS(D18),I18),"OK","NO")</f>
        <v/>
      </c>
      <c r="K18" s="32" t="inlineStr">
        <is>
          <t>Publicado</t>
        </is>
      </c>
      <c r="L18" s="9" t="inlineStr">
        <is>
          <t>251.777</t>
        </is>
      </c>
      <c r="M18" s="9" t="inlineStr">
        <is>
          <t>Desplazamiento Ux del nudo 4 · combinación «C1: 1,0·D + 1,0·Hx»</t>
        </is>
      </c>
      <c r="N18" s="9" t="inlineStr"/>
    </row>
    <row r="19" ht="28" customHeight="1">
      <c r="A19" s="17" t="n">
        <v>5</v>
      </c>
      <c r="B19" s="8" t="inlineStr">
        <is>
          <t>Desplazamiento vertical del nudo 4</t>
        </is>
      </c>
      <c r="C19" s="17" t="inlineStr">
        <is>
          <t>mm</t>
        </is>
      </c>
      <c r="D19" s="26">
        <f>-139.645</f>
        <v/>
      </c>
      <c r="E19" s="25" t="n">
        <v>-139.6446609406726</v>
      </c>
      <c r="F19" s="27">
        <f>E19-D19</f>
        <v/>
      </c>
      <c r="G19" s="28">
        <f>IF(ABS(D19)&gt;0.000000000001,F19/D19,"—")</f>
        <v/>
      </c>
      <c r="H19" s="29" t="n">
        <v>5e-06</v>
      </c>
      <c r="I19" s="30" t="n">
        <v>1e-06</v>
      </c>
      <c r="J19" s="31">
        <f>IF(ABS(F19)&lt;=MAX(H19*ABS(D19),I19),"OK","NO")</f>
        <v/>
      </c>
      <c r="K19" s="32" t="inlineStr">
        <is>
          <t>Publicado</t>
        </is>
      </c>
      <c r="L19" s="9" t="inlineStr">
        <is>
          <t>-139.645</t>
        </is>
      </c>
      <c r="M19" s="9" t="inlineStr">
        <is>
          <t>Desplazamiento Uz del nudo 4 · combinación «C1: 1,0·D + 1,0·Hx»</t>
        </is>
      </c>
      <c r="N19" s="9" t="inlineStr"/>
    </row>
    <row r="20" ht="28" customHeight="1">
      <c r="A20" s="17" t="n">
        <v>6</v>
      </c>
      <c r="B20" s="8" t="inlineStr">
        <is>
          <t>Axil barra 1 (1–2)</t>
        </is>
      </c>
      <c r="C20" s="17" t="inlineStr">
        <is>
          <t>kN</t>
        </is>
      </c>
      <c r="D20" s="26">
        <f>6.0355</f>
        <v/>
      </c>
      <c r="E20" s="25" t="n">
        <v>6.035533905932735</v>
      </c>
      <c r="F20" s="27">
        <f>E20-D20</f>
        <v/>
      </c>
      <c r="G20" s="28">
        <f>IF(ABS(D20)&gt;0.000000000001,F20/D20,"—")</f>
        <v/>
      </c>
      <c r="H20" s="29" t="n">
        <v>0</v>
      </c>
      <c r="I20" s="30" t="n">
        <v>0.011</v>
      </c>
      <c r="J20" s="31">
        <f>IF(ABS(F20)&lt;=MAX(H20*ABS(D20),I20),"OK","NO")</f>
        <v/>
      </c>
      <c r="K20" s="32" t="inlineStr">
        <is>
          <t>Publicado</t>
        </is>
      </c>
      <c r="L20" s="9" t="inlineStr">
        <is>
          <t>6.0355</t>
        </is>
      </c>
      <c r="M20" s="9" t="inlineStr">
        <is>
          <t>Barra 1, en x = 0.5·L, esfuerzo axil N (tracción +) · combinación «C1: 1,0·D + 1,0·Hx»</t>
        </is>
      </c>
      <c r="N20" s="9" t="inlineStr"/>
    </row>
    <row r="21" ht="28" customHeight="1">
      <c r="A21" s="17" t="n">
        <v>7</v>
      </c>
      <c r="B21" s="8" t="inlineStr">
        <is>
          <t>Axil barra 2 (1–3)</t>
        </is>
      </c>
      <c r="C21" s="17" t="inlineStr">
        <is>
          <t>kN</t>
        </is>
      </c>
      <c r="D21" s="26">
        <f>6.0355</f>
        <v/>
      </c>
      <c r="E21" s="25" t="n">
        <v>6.035533905932735</v>
      </c>
      <c r="F21" s="27">
        <f>E21-D21</f>
        <v/>
      </c>
      <c r="G21" s="28">
        <f>IF(ABS(D21)&gt;0.000000000001,F21/D21,"—")</f>
        <v/>
      </c>
      <c r="H21" s="29" t="n">
        <v>0</v>
      </c>
      <c r="I21" s="30" t="n">
        <v>0.011</v>
      </c>
      <c r="J21" s="31">
        <f>IF(ABS(F21)&lt;=MAX(H21*ABS(D21),I21),"OK","NO")</f>
        <v/>
      </c>
      <c r="K21" s="32" t="inlineStr">
        <is>
          <t>Publicado</t>
        </is>
      </c>
      <c r="L21" s="9" t="inlineStr">
        <is>
          <t>6.0355</t>
        </is>
      </c>
      <c r="M21" s="9" t="inlineStr">
        <is>
          <t>Barra 2, en x = 0.5·L, esfuerzo axil N (tracción +) · combinación «C1: 1,0·D + 1,0·Hx»</t>
        </is>
      </c>
      <c r="N21" s="9" t="inlineStr"/>
    </row>
    <row r="22" ht="28" customHeight="1">
      <c r="A22" s="17" t="n">
        <v>8</v>
      </c>
      <c r="B22" s="8" t="inlineStr">
        <is>
          <t>Axil barra 3 (2–4)</t>
        </is>
      </c>
      <c r="C22" s="17" t="inlineStr">
        <is>
          <t>kN</t>
        </is>
      </c>
      <c r="D22" s="26">
        <f>-13.96</f>
        <v/>
      </c>
      <c r="E22" s="25" t="n">
        <v>-13.96446609406726</v>
      </c>
      <c r="F22" s="27">
        <f>E22-D22</f>
        <v/>
      </c>
      <c r="G22" s="28">
        <f>IF(ABS(D22)&gt;0.000000000001,F22/D22,"—")</f>
        <v/>
      </c>
      <c r="H22" s="29" t="n">
        <v>0</v>
      </c>
      <c r="I22" s="30" t="n">
        <v>0.011</v>
      </c>
      <c r="J22" s="31">
        <f>IF(ABS(F22)&lt;=MAX(H22*ABS(D22),I22),"OK","NO")</f>
        <v/>
      </c>
      <c r="K22" s="32" t="inlineStr">
        <is>
          <t>Publicado</t>
        </is>
      </c>
      <c r="L22" s="9" t="inlineStr">
        <is>
          <t>-13.96</t>
        </is>
      </c>
      <c r="M22" s="9" t="inlineStr">
        <is>
          <t>Barra 3, en x = 0.5·L, esfuerzo axil N (tracción +) · combinación «C1: 1,0·D + 1,0·Hx»</t>
        </is>
      </c>
      <c r="N22" s="9" t="inlineStr"/>
    </row>
    <row r="23" ht="28" customHeight="1">
      <c r="A23" s="17" t="n">
        <v>9</v>
      </c>
      <c r="B23" s="8" t="inlineStr">
        <is>
          <t>Axil barra 4 (3–4)</t>
        </is>
      </c>
      <c r="C23" s="17" t="inlineStr">
        <is>
          <t>kN</t>
        </is>
      </c>
      <c r="D23" s="26">
        <f>-3.96</f>
        <v/>
      </c>
      <c r="E23" s="25" t="n">
        <v>-3.964466094067258</v>
      </c>
      <c r="F23" s="27">
        <f>E23-D23</f>
        <v/>
      </c>
      <c r="G23" s="28">
        <f>IF(ABS(D23)&gt;0.000000000001,F23/D23,"—")</f>
        <v/>
      </c>
      <c r="H23" s="29" t="n">
        <v>0</v>
      </c>
      <c r="I23" s="30" t="n">
        <v>0.011</v>
      </c>
      <c r="J23" s="31">
        <f>IF(ABS(F23)&lt;=MAX(H23*ABS(D23),I23),"OK","NO")</f>
        <v/>
      </c>
      <c r="K23" s="32" t="inlineStr">
        <is>
          <t>Publicado</t>
        </is>
      </c>
      <c r="L23" s="9" t="inlineStr">
        <is>
          <t>-3.96</t>
        </is>
      </c>
      <c r="M23" s="9" t="inlineStr">
        <is>
          <t>Barra 4, en x = 0.5·L, esfuerzo axil N (tracción +) · combinación «C1: 1,0·D + 1,0·Hx»</t>
        </is>
      </c>
      <c r="N23" s="9" t="inlineStr"/>
    </row>
    <row r="24" ht="28" customHeight="1">
      <c r="A24" s="17" t="n">
        <v>10</v>
      </c>
      <c r="B24" s="8" t="inlineStr">
        <is>
          <t>Axil barra 5 (diagonal 1–4)</t>
        </is>
      </c>
      <c r="C24" s="17" t="inlineStr">
        <is>
          <t>kN</t>
        </is>
      </c>
      <c r="D24" s="26">
        <f>5.60</f>
        <v/>
      </c>
      <c r="E24" s="25" t="n">
        <v>5.606601717798211</v>
      </c>
      <c r="F24" s="27">
        <f>E24-D24</f>
        <v/>
      </c>
      <c r="G24" s="28">
        <f>IF(ABS(D24)&gt;0.000000000001,F24/D24,"—")</f>
        <v/>
      </c>
      <c r="H24" s="29" t="n">
        <v>0</v>
      </c>
      <c r="I24" s="30" t="n">
        <v>0.011</v>
      </c>
      <c r="J24" s="31">
        <f>IF(ABS(F24)&lt;=MAX(H24*ABS(D24),I24),"OK","NO")</f>
        <v/>
      </c>
      <c r="K24" s="32" t="inlineStr">
        <is>
          <t>Publicado</t>
        </is>
      </c>
      <c r="L24" s="9" t="inlineStr">
        <is>
          <t>5.60</t>
        </is>
      </c>
      <c r="M24" s="9" t="inlineStr">
        <is>
          <t>Barra 5, en x = 0.5·L, esfuerzo axil N (tracción +) · combinación «C1: 1,0·D + 1,0·Hx»</t>
        </is>
      </c>
      <c r="N24" s="9" t="inlineStr"/>
    </row>
    <row r="25" ht="28" customHeight="1">
      <c r="A25" s="17" t="n">
        <v>11</v>
      </c>
      <c r="B25" s="8" t="inlineStr">
        <is>
          <t>Axil barra 6 (diagonal 2–3)</t>
        </is>
      </c>
      <c r="C25" s="17" t="inlineStr">
        <is>
          <t>kN</t>
        </is>
      </c>
      <c r="D25" s="26">
        <f>-8.53</f>
        <v/>
      </c>
      <c r="E25" s="25" t="n">
        <v>-8.535533905932738</v>
      </c>
      <c r="F25" s="27">
        <f>E25-D25</f>
        <v/>
      </c>
      <c r="G25" s="28">
        <f>IF(ABS(D25)&gt;0.000000000001,F25/D25,"—")</f>
        <v/>
      </c>
      <c r="H25" s="29" t="n">
        <v>0</v>
      </c>
      <c r="I25" s="30" t="n">
        <v>0.011</v>
      </c>
      <c r="J25" s="31">
        <f>IF(ABS(F25)&lt;=MAX(H25*ABS(D25),I25),"OK","NO")</f>
        <v/>
      </c>
      <c r="K25" s="32" t="inlineStr">
        <is>
          <t>Publicado</t>
        </is>
      </c>
      <c r="L25" s="9" t="inlineStr">
        <is>
          <t>-8.53</t>
        </is>
      </c>
      <c r="M25" s="9" t="inlineStr">
        <is>
          <t>Barra 6, en x = 0.5·L, esfuerzo axil N (tracción +) · combinación «C1: 1,0·D + 1,0·Hx»</t>
        </is>
      </c>
      <c r="N25" s="9" t="inlineStr"/>
    </row>
    <row r="27">
      <c r="B27" s="4" t="inlineStr">
        <is>
          <t>Comprobaciones dentro de tolerancia</t>
        </is>
      </c>
      <c r="D27" s="4">
        <f>COUNTIF(J15:J25,"OK")</f>
        <v/>
      </c>
      <c r="E27" s="4">
        <f>ROWS(J15:J25)</f>
        <v/>
      </c>
      <c r="F27" s="4">
        <f>IF(D27=E27,"VERIFICA","DIFIERE")</f>
        <v/>
      </c>
    </row>
    <row r="28">
      <c r="B28" s="2" t="inlineStr">
        <is>
          <t>Azul = dato ingresado o valor que entregó el programa (pegado); negro = fórmula de Excel. El valor «Programa» es el resultado del motor de cálculo de la app para el mismo modelo.</t>
        </is>
      </c>
    </row>
  </sheetData>
  <mergeCells count="1">
    <mergeCell ref="A4:L4"/>
  </mergeCells>
  <conditionalFormatting sqref="J15:J25">
    <cfRule type="cellIs" priority="1" operator="equal" dxfId="0">
      <formula>"OK"</formula>
    </cfRule>
    <cfRule type="cellIs" priority="2" operator="equal" dxfId="1">
      <formula>"NO"</formula>
    </cfRule>
  </conditionalFormatting>
  <hyperlinks>
    <hyperlink xmlns:r="http://schemas.openxmlformats.org/officeDocument/2006/relationships" ref="A3" r:id="rId1"/>
  </hyperlink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N32"/>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A04 · Emparrillado en L empotrado en ambos extremos (flexión + torsión)</t>
        </is>
      </c>
    </row>
    <row r="2">
      <c r="A2" s="2" t="inlineStr">
        <is>
          <t>Resultado publicado.  Fuente: Univ. de Memphis, CIVL 7117 · capítulo 5b, ejemplo de emparrillado (apuntes de cátedra)</t>
        </is>
      </c>
    </row>
    <row r="3">
      <c r="A3" s="21" t="inlineStr">
        <is>
          <t>https://www.ce.memphis.edu/7117/notes/presentations/chapter_05b.pdf</t>
        </is>
      </c>
    </row>
    <row r="4" ht="54" customHeight="1">
      <c r="A4" s="14" t="inlineStr">
        <is>
          <t>Enunciado. Dos barras horizontales de 3 m en ángulo recto, unidas en el nudo 2 y empotradas en los extremos 1 y 3. Carga vertical de 22 kN hacia abajo en el nudo 2. E = 210 GPa, G = 84 GPa, I = 16,6·10⁻⁵ m⁴, J = 4,6·10⁻⁵ m⁴. La fuente publica v = −2,59 mm, giros de 0,00126 rad y esfuerzos de barra con tres cifras (algunos redondeados: por ejemplo el torsor); por eso las filas «publicado» tienen tolerancia mayor y se agregan las filas «solución exacta» deducidas por compatibilidad (θ = (P/4)·L²/(EI+GJ)).</t>
        </is>
      </c>
    </row>
    <row r="6">
      <c r="A6" s="22" t="inlineStr">
        <is>
          <t>DATOS DEL EJERCICIO</t>
        </is>
      </c>
      <c r="B6" s="22" t="n"/>
      <c r="C6" s="22" t="n"/>
      <c r="D6" s="22" t="n"/>
      <c r="E6" s="22" t="n"/>
      <c r="F6" s="22" t="n"/>
      <c r="G6" s="22" t="n"/>
      <c r="H6" s="22" t="n"/>
      <c r="I6" s="22" t="n"/>
      <c r="J6" s="22" t="n"/>
      <c r="K6" s="22" t="n"/>
      <c r="L6" s="22" t="n"/>
      <c r="M6" s="22" t="n"/>
      <c r="N6" s="22" t="n"/>
    </row>
    <row r="7">
      <c r="A7" s="5" t="inlineStr">
        <is>
          <t>#</t>
        </is>
      </c>
      <c r="B7" s="5" t="inlineStr">
        <is>
          <t>Dato</t>
        </is>
      </c>
      <c r="C7" s="5" t="inlineStr">
        <is>
          <t>Unidad</t>
        </is>
      </c>
      <c r="D7" s="5" t="inlineStr">
        <is>
          <t>Valor</t>
        </is>
      </c>
      <c r="K7" s="5" t="inlineStr">
        <is>
          <t>Símbolo</t>
        </is>
      </c>
      <c r="L7" s="5" t="inlineStr">
        <is>
          <t>Fórmula (texto)</t>
        </is>
      </c>
    </row>
    <row r="8">
      <c r="A8" s="17" t="n">
        <v>1</v>
      </c>
      <c r="B8" s="8" t="inlineStr">
        <is>
          <t>Módulo elástico</t>
        </is>
      </c>
      <c r="C8" s="17" t="inlineStr">
        <is>
          <t>MPa</t>
        </is>
      </c>
      <c r="D8" s="23" t="n">
        <v>210000</v>
      </c>
      <c r="K8" s="17" t="inlineStr">
        <is>
          <t>E</t>
        </is>
      </c>
      <c r="L8" s="24" t="inlineStr">
        <is>
          <t>dato ingresado</t>
        </is>
      </c>
    </row>
    <row r="9">
      <c r="A9" s="17" t="n">
        <v>2</v>
      </c>
      <c r="B9" s="8" t="inlineStr">
        <is>
          <t>Módulo de corte</t>
        </is>
      </c>
      <c r="C9" s="17" t="inlineStr">
        <is>
          <t>MPa</t>
        </is>
      </c>
      <c r="D9" s="23" t="n">
        <v>84000</v>
      </c>
      <c r="K9" s="17" t="inlineStr">
        <is>
          <t>G</t>
        </is>
      </c>
      <c r="L9" s="24" t="inlineStr">
        <is>
          <t>dato ingresado</t>
        </is>
      </c>
    </row>
    <row r="10">
      <c r="A10" s="17" t="n">
        <v>3</v>
      </c>
      <c r="B10" s="8" t="inlineStr">
        <is>
          <t>Inercia (16,6·10⁻⁵ m⁴)</t>
        </is>
      </c>
      <c r="C10" s="17" t="inlineStr">
        <is>
          <t>mm⁴</t>
        </is>
      </c>
      <c r="D10" s="35" t="n">
        <v>166000000</v>
      </c>
      <c r="K10" s="17" t="inlineStr">
        <is>
          <t>I</t>
        </is>
      </c>
      <c r="L10" s="24" t="inlineStr">
        <is>
          <t>dato ingresado</t>
        </is>
      </c>
    </row>
    <row r="11">
      <c r="A11" s="17" t="n">
        <v>4</v>
      </c>
      <c r="B11" s="8" t="inlineStr">
        <is>
          <t>Constante de torsión (4,6·10⁻⁵ m⁴)</t>
        </is>
      </c>
      <c r="C11" s="17" t="inlineStr">
        <is>
          <t>mm⁴</t>
        </is>
      </c>
      <c r="D11" s="35" t="n">
        <v>46000000</v>
      </c>
      <c r="K11" s="17" t="inlineStr">
        <is>
          <t>J</t>
        </is>
      </c>
      <c r="L11" s="24" t="inlineStr">
        <is>
          <t>dato ingresado</t>
        </is>
      </c>
    </row>
    <row r="12">
      <c r="A12" s="17" t="n">
        <v>5</v>
      </c>
      <c r="B12" s="8" t="inlineStr">
        <is>
          <t>Largo de cada barra</t>
        </is>
      </c>
      <c r="C12" s="17" t="inlineStr">
        <is>
          <t>mm</t>
        </is>
      </c>
      <c r="D12" s="23" t="n">
        <v>3000</v>
      </c>
      <c r="K12" s="17" t="inlineStr">
        <is>
          <t>L</t>
        </is>
      </c>
      <c r="L12" s="24" t="inlineStr">
        <is>
          <t>dato ingresado</t>
        </is>
      </c>
    </row>
    <row r="13">
      <c r="A13" s="17" t="n">
        <v>6</v>
      </c>
      <c r="B13" s="8" t="inlineStr">
        <is>
          <t>Carga vertical en el nudo 2</t>
        </is>
      </c>
      <c r="C13" s="17" t="inlineStr">
        <is>
          <t>kN</t>
        </is>
      </c>
      <c r="D13" s="25" t="n">
        <v>22</v>
      </c>
      <c r="K13" s="17" t="inlineStr">
        <is>
          <t>P</t>
        </is>
      </c>
      <c r="L13" s="24" t="inlineStr">
        <is>
          <t>dato ingresado</t>
        </is>
      </c>
    </row>
    <row r="14">
      <c r="A14" s="17" t="n">
        <v>7</v>
      </c>
      <c r="B14" s="8" t="inlineStr">
        <is>
          <t>Giro exacto del nudo 2 (compatibilidad)</t>
        </is>
      </c>
      <c r="C14" s="17" t="inlineStr">
        <is>
          <t>rad</t>
        </is>
      </c>
      <c r="D14" s="33">
        <f>($D$13*1000/4)*$D$12^2/($D$8*$D$10+$D$9*$D$11)</f>
        <v/>
      </c>
      <c r="K14" s="17" t="inlineStr">
        <is>
          <t>th</t>
        </is>
      </c>
      <c r="L14" s="24" t="inlineStr">
        <is>
          <t>valor = (P*1000/4)*L^2/(E*I+G*J)</t>
        </is>
      </c>
    </row>
    <row r="15">
      <c r="A15" s="17" t="n">
        <v>8</v>
      </c>
      <c r="B15" s="8" t="inlineStr">
        <is>
          <t>Descenso exacto del nudo 2</t>
        </is>
      </c>
      <c r="C15" s="17" t="inlineStr">
        <is>
          <t>mm</t>
        </is>
      </c>
      <c r="D15" s="26">
        <f>($D$13*1000/2)*$D$12^3/(12*$D$8*$D$10)+$D$14*$D$12/2</f>
        <v/>
      </c>
      <c r="K15" s="17" t="inlineStr">
        <is>
          <t>w</t>
        </is>
      </c>
      <c r="L15" s="24" t="inlineStr">
        <is>
          <t>valor = (P*1000/2)*L^3/(12*E*I)+th*L/2</t>
        </is>
      </c>
    </row>
    <row r="16">
      <c r="A16" s="17" t="n">
        <v>9</v>
      </c>
      <c r="B16" s="8" t="inlineStr">
        <is>
          <t>Torsor exacto en cada barra</t>
        </is>
      </c>
      <c r="C16" s="17" t="inlineStr">
        <is>
          <t>kN·m</t>
        </is>
      </c>
      <c r="D16" s="26">
        <f>$D$9*$D$11*$D$14/$D$12/1000000</f>
        <v/>
      </c>
      <c r="K16" s="17" t="inlineStr">
        <is>
          <t>T</t>
        </is>
      </c>
      <c r="L16" s="24" t="inlineStr">
        <is>
          <t>valor = G*J*th/L/1000000</t>
        </is>
      </c>
    </row>
    <row r="18">
      <c r="A18" s="22" t="inlineStr">
        <is>
          <t>COMPARACIÓN: TEORÍA / DATO PUBLICADO  vs  PROGRAMA (Atlas Estructuras 3D)</t>
        </is>
      </c>
      <c r="B18" s="22" t="n"/>
      <c r="C18" s="22" t="n"/>
      <c r="D18" s="22" t="n"/>
      <c r="E18" s="22" t="n"/>
      <c r="F18" s="22" t="n"/>
      <c r="G18" s="22" t="n"/>
      <c r="H18" s="22" t="n"/>
      <c r="I18" s="22" t="n"/>
      <c r="J18" s="22" t="n"/>
      <c r="K18" s="22" t="n"/>
      <c r="L18" s="22" t="n"/>
      <c r="M18" s="22" t="n"/>
      <c r="N18" s="22" t="n"/>
    </row>
    <row r="19" ht="30" customHeight="1">
      <c r="A19" s="5" t="inlineStr">
        <is>
          <t>#</t>
        </is>
      </c>
      <c r="B19" s="5" t="inlineStr">
        <is>
          <t>Comprobación</t>
        </is>
      </c>
      <c r="C19" s="5" t="inlineStr">
        <is>
          <t>Unidad</t>
        </is>
      </c>
      <c r="D19" s="5" t="inlineStr">
        <is>
          <t>Teoría / publicado</t>
        </is>
      </c>
      <c r="E19" s="5" t="inlineStr">
        <is>
          <t>Programa</t>
        </is>
      </c>
      <c r="F19" s="5" t="inlineStr">
        <is>
          <t>Diferencia (prog. − teoría)</t>
        </is>
      </c>
      <c r="G19" s="5" t="inlineStr">
        <is>
          <t>Error relativo</t>
        </is>
      </c>
      <c r="H19" s="5" t="inlineStr">
        <is>
          <t>Tol. relativa</t>
        </is>
      </c>
      <c r="I19" s="5" t="inlineStr">
        <is>
          <t>Tol. absoluta</t>
        </is>
      </c>
      <c r="J19" s="5" t="inlineStr">
        <is>
          <t>Estado</t>
        </is>
      </c>
      <c r="K19" s="5" t="inlineStr">
        <is>
          <t>Origen</t>
        </is>
      </c>
      <c r="L19" s="5" t="inlineStr">
        <is>
          <t>Expresión de la teoría (texto)</t>
        </is>
      </c>
      <c r="M19" s="5" t="inlineStr">
        <is>
          <t>Dónde se lee en el programa</t>
        </is>
      </c>
      <c r="N19" s="5" t="inlineStr">
        <is>
          <t>Nota</t>
        </is>
      </c>
    </row>
    <row r="20" ht="16" customHeight="1">
      <c r="A20" s="17" t="n">
        <v>1</v>
      </c>
      <c r="B20" s="8" t="inlineStr">
        <is>
          <t>Descenso del nudo 2 (publicado)</t>
        </is>
      </c>
      <c r="C20" s="17" t="inlineStr">
        <is>
          <t>mm</t>
        </is>
      </c>
      <c r="D20" s="26">
        <f>-2.59</f>
        <v/>
      </c>
      <c r="E20" s="25" t="n">
        <v>-2.627398344391686</v>
      </c>
      <c r="F20" s="27">
        <f>E20-D20</f>
        <v/>
      </c>
      <c r="G20" s="28">
        <f>IF(ABS(D20)&gt;0.000000000001,F20/D20,"—")</f>
        <v/>
      </c>
      <c r="H20" s="29" t="n">
        <v>0.02</v>
      </c>
      <c r="I20" s="30" t="n">
        <v>1e-06</v>
      </c>
      <c r="J20" s="31">
        <f>IF(ABS(F20)&lt;=MAX(H20*ABS(D20),I20),"OK","NO")</f>
        <v/>
      </c>
      <c r="K20" s="32" t="inlineStr">
        <is>
          <t>Publicado</t>
        </is>
      </c>
      <c r="L20" s="9" t="inlineStr">
        <is>
          <t>-2.59</t>
        </is>
      </c>
      <c r="M20" s="9" t="inlineStr">
        <is>
          <t>Desplazamiento Uz del nudo 2 · combinación «C1: 1,0·D»</t>
        </is>
      </c>
      <c r="N20" s="9" t="inlineStr"/>
    </row>
    <row r="21" ht="16" customHeight="1">
      <c r="A21" s="17" t="n">
        <v>2</v>
      </c>
      <c r="B21" s="8" t="inlineStr">
        <is>
          <t>Giro del nudo 2 alrededor de X (publicado)</t>
        </is>
      </c>
      <c r="C21" s="17" t="inlineStr">
        <is>
          <t>rad</t>
        </is>
      </c>
      <c r="D21" s="33">
        <f>ABS(0.00126)</f>
        <v/>
      </c>
      <c r="E21" s="34" t="n">
        <v>0.001278277037397096</v>
      </c>
      <c r="F21" s="27">
        <f>E21-D21</f>
        <v/>
      </c>
      <c r="G21" s="28">
        <f>IF(ABS(D21)&gt;0.000000000001,F21/D21,"—")</f>
        <v/>
      </c>
      <c r="H21" s="29" t="n">
        <v>0.02</v>
      </c>
      <c r="I21" s="30" t="n">
        <v>1e-06</v>
      </c>
      <c r="J21" s="31">
        <f>IF(ABS(F21)&lt;=MAX(H21*ABS(D21),I21),"OK","NO")</f>
        <v/>
      </c>
      <c r="K21" s="32" t="inlineStr">
        <is>
          <t>Publicado</t>
        </is>
      </c>
      <c r="L21" s="9" t="inlineStr">
        <is>
          <t>0.00126</t>
        </is>
      </c>
      <c r="M21" s="9" t="inlineStr">
        <is>
          <t>Desplazamiento Rx del nudo 2 · combinación «C1: 1,0·D»</t>
        </is>
      </c>
      <c r="N21" s="9" t="inlineStr">
        <is>
          <t>Se comparan valores absolutos (la convención de signo es independiente del resultado).</t>
        </is>
      </c>
    </row>
    <row r="22" ht="16" customHeight="1">
      <c r="A22" s="17" t="n">
        <v>3</v>
      </c>
      <c r="B22" s="8" t="inlineStr">
        <is>
          <t>Giro del nudo 2 alrededor de Y (publicado)</t>
        </is>
      </c>
      <c r="C22" s="17" t="inlineStr">
        <is>
          <t>rad</t>
        </is>
      </c>
      <c r="D22" s="33">
        <f>ABS(0.00126)</f>
        <v/>
      </c>
      <c r="E22" s="34" t="n">
        <v>0.001278277037397096</v>
      </c>
      <c r="F22" s="27">
        <f>E22-D22</f>
        <v/>
      </c>
      <c r="G22" s="28">
        <f>IF(ABS(D22)&gt;0.000000000001,F22/D22,"—")</f>
        <v/>
      </c>
      <c r="H22" s="29" t="n">
        <v>0.02</v>
      </c>
      <c r="I22" s="30" t="n">
        <v>1e-06</v>
      </c>
      <c r="J22" s="31">
        <f>IF(ABS(F22)&lt;=MAX(H22*ABS(D22),I22),"OK","NO")</f>
        <v/>
      </c>
      <c r="K22" s="32" t="inlineStr">
        <is>
          <t>Publicado</t>
        </is>
      </c>
      <c r="L22" s="9" t="inlineStr">
        <is>
          <t>0.00126</t>
        </is>
      </c>
      <c r="M22" s="9" t="inlineStr">
        <is>
          <t>Desplazamiento Ry del nudo 2 · combinación «C1: 1,0·D»</t>
        </is>
      </c>
      <c r="N22" s="9" t="inlineStr">
        <is>
          <t>Se comparan valores absolutos (la convención de signo es independiente del resultado).</t>
        </is>
      </c>
    </row>
    <row r="23" ht="28" customHeight="1">
      <c r="A23" s="17" t="n">
        <v>4</v>
      </c>
      <c r="B23" s="8" t="inlineStr">
        <is>
          <t>Corte en el extremo 1 (publicado)</t>
        </is>
      </c>
      <c r="C23" s="17" t="inlineStr">
        <is>
          <t>kN</t>
        </is>
      </c>
      <c r="D23" s="26">
        <f>ABS(11.0)</f>
        <v/>
      </c>
      <c r="E23" s="25" t="n">
        <v>11</v>
      </c>
      <c r="F23" s="27">
        <f>E23-D23</f>
        <v/>
      </c>
      <c r="G23" s="28">
        <f>IF(ABS(D23)&gt;0.000000000001,F23/D23,"—")</f>
        <v/>
      </c>
      <c r="H23" s="29" t="n">
        <v>0.001</v>
      </c>
      <c r="I23" s="30" t="n">
        <v>1e-06</v>
      </c>
      <c r="J23" s="31">
        <f>IF(ABS(F23)&lt;=MAX(H23*ABS(D23),I23),"OK","NO")</f>
        <v/>
      </c>
      <c r="K23" s="32" t="inlineStr">
        <is>
          <t>Publicado</t>
        </is>
      </c>
      <c r="L23" s="9" t="inlineStr">
        <is>
          <t>11.0</t>
        </is>
      </c>
      <c r="M23" s="9" t="inlineStr">
        <is>
          <t>Barra 1, en x = 0·L, corte Vy (en el plano del alma) · combinación «C1: 1,0·D»</t>
        </is>
      </c>
      <c r="N23" s="9" t="inlineStr">
        <is>
          <t>Se comparan valores absolutos (la convención de signo es independiente del resultado).</t>
        </is>
      </c>
    </row>
    <row r="24" ht="28" customHeight="1">
      <c r="A24" s="17" t="n">
        <v>5</v>
      </c>
      <c r="B24" s="8" t="inlineStr">
        <is>
          <t>Momento flector en el empotramiento 1 (publicado)</t>
        </is>
      </c>
      <c r="C24" s="17" t="inlineStr">
        <is>
          <t>kN·m</t>
        </is>
      </c>
      <c r="D24" s="26">
        <f>ABS(31.0)</f>
        <v/>
      </c>
      <c r="E24" s="25" t="n">
        <v>31.35357917455426</v>
      </c>
      <c r="F24" s="27">
        <f>E24-D24</f>
        <v/>
      </c>
      <c r="G24" s="28">
        <f>IF(ABS(D24)&gt;0.000000000001,F24/D24,"—")</f>
        <v/>
      </c>
      <c r="H24" s="29" t="n">
        <v>0.02</v>
      </c>
      <c r="I24" s="30" t="n">
        <v>1e-06</v>
      </c>
      <c r="J24" s="31">
        <f>IF(ABS(F24)&lt;=MAX(H24*ABS(D24),I24),"OK","NO")</f>
        <v/>
      </c>
      <c r="K24" s="32" t="inlineStr">
        <is>
          <t>Publicado</t>
        </is>
      </c>
      <c r="L24" s="9" t="inlineStr">
        <is>
          <t>31.0</t>
        </is>
      </c>
      <c r="M24" s="9" t="inlineStr">
        <is>
          <t>Barra 1, en x = 0·L, momento flector Mz (eje fuerte) · combinación «C1: 1,0·D»</t>
        </is>
      </c>
      <c r="N24" s="9" t="inlineStr">
        <is>
          <t>Se comparan valores absolutos (la convención de signo es independiente del resultado).</t>
        </is>
      </c>
    </row>
    <row r="25" ht="28" customHeight="1">
      <c r="A25" s="17" t="n">
        <v>6</v>
      </c>
      <c r="B25" s="8" t="inlineStr">
        <is>
          <t>Torsor en la barra 1 (publicado, redondeado en la fuente)</t>
        </is>
      </c>
      <c r="C25" s="17" t="inlineStr">
        <is>
          <t>kN·m</t>
        </is>
      </c>
      <c r="D25" s="26">
        <f>ABS(1.50)</f>
        <v/>
      </c>
      <c r="E25" s="25" t="n">
        <v>1.64642082416746</v>
      </c>
      <c r="F25" s="27">
        <f>E25-D25</f>
        <v/>
      </c>
      <c r="G25" s="28">
        <f>IF(ABS(D25)&gt;0.000000000001,F25/D25,"—")</f>
        <v/>
      </c>
      <c r="H25" s="29" t="n">
        <v>0.1</v>
      </c>
      <c r="I25" s="30" t="n">
        <v>1e-06</v>
      </c>
      <c r="J25" s="31">
        <f>IF(ABS(F25)&lt;=MAX(H25*ABS(D25),I25),"OK","NO")</f>
        <v/>
      </c>
      <c r="K25" s="32" t="inlineStr">
        <is>
          <t>Publicado</t>
        </is>
      </c>
      <c r="L25" s="9" t="inlineStr">
        <is>
          <t>1.50</t>
        </is>
      </c>
      <c r="M25" s="9" t="inlineStr">
        <is>
          <t>Barra 1, en x = 0.5·L, torsor T · combinación «C1: 1,0·D»</t>
        </is>
      </c>
      <c r="N25" s="9" t="inlineStr">
        <is>
          <t>La fuente da 1,50; la solución exacta es 1,65 (fila siguiente). Se comparan valores absolutos (la convención de signo es independiente del resultado).</t>
        </is>
      </c>
    </row>
    <row r="26" ht="16" customHeight="1">
      <c r="A26" s="17" t="n">
        <v>7</v>
      </c>
      <c r="B26" s="8" t="inlineStr">
        <is>
          <t>Descenso del nudo 2 (solución exacta)</t>
        </is>
      </c>
      <c r="C26" s="17" t="inlineStr">
        <is>
          <t>mm</t>
        </is>
      </c>
      <c r="D26" s="26">
        <f>-$D$15</f>
        <v/>
      </c>
      <c r="E26" s="25" t="n">
        <v>-2.627398344391686</v>
      </c>
      <c r="F26" s="27">
        <f>E26-D26</f>
        <v/>
      </c>
      <c r="G26" s="28">
        <f>IF(ABS(D26)&gt;0.000000000001,F26/D26,"—")</f>
        <v/>
      </c>
      <c r="H26" s="29" t="n">
        <v>0.0001</v>
      </c>
      <c r="I26" s="30" t="n">
        <v>1e-06</v>
      </c>
      <c r="J26" s="31">
        <f>IF(ABS(F26)&lt;=MAX(H26*ABS(D26),I26),"OK","NO")</f>
        <v/>
      </c>
      <c r="K26" s="17" t="inlineStr">
        <is>
          <t>Fórmula</t>
        </is>
      </c>
      <c r="L26" s="9" t="inlineStr">
        <is>
          <t>-w</t>
        </is>
      </c>
      <c r="M26" s="9" t="inlineStr">
        <is>
          <t>Desplazamiento Uz del nudo 2 · combinación «C1: 1,0·D»</t>
        </is>
      </c>
      <c r="N26" s="9" t="inlineStr"/>
    </row>
    <row r="27" ht="16" customHeight="1">
      <c r="A27" s="17" t="n">
        <v>8</v>
      </c>
      <c r="B27" s="8" t="inlineStr">
        <is>
          <t>Giro del nudo 2 alrededor de X (solución exacta)</t>
        </is>
      </c>
      <c r="C27" s="17" t="inlineStr">
        <is>
          <t>rad</t>
        </is>
      </c>
      <c r="D27" s="33">
        <f>ABS($D$14)</f>
        <v/>
      </c>
      <c r="E27" s="34" t="n">
        <v>0.001278277037397096</v>
      </c>
      <c r="F27" s="27">
        <f>E27-D27</f>
        <v/>
      </c>
      <c r="G27" s="28">
        <f>IF(ABS(D27)&gt;0.000000000001,F27/D27,"—")</f>
        <v/>
      </c>
      <c r="H27" s="29" t="n">
        <v>0.0001</v>
      </c>
      <c r="I27" s="30" t="n">
        <v>1e-06</v>
      </c>
      <c r="J27" s="31">
        <f>IF(ABS(F27)&lt;=MAX(H27*ABS(D27),I27),"OK","NO")</f>
        <v/>
      </c>
      <c r="K27" s="17" t="inlineStr">
        <is>
          <t>Fórmula</t>
        </is>
      </c>
      <c r="L27" s="9" t="inlineStr">
        <is>
          <t>th</t>
        </is>
      </c>
      <c r="M27" s="9" t="inlineStr">
        <is>
          <t>Desplazamiento Rx del nudo 2 · combinación «C1: 1,0·D»</t>
        </is>
      </c>
      <c r="N27" s="9" t="inlineStr">
        <is>
          <t>Se comparan valores absolutos (la convención de signo es independiente del resultado).</t>
        </is>
      </c>
    </row>
    <row r="28" ht="16" customHeight="1">
      <c r="A28" s="17" t="n">
        <v>9</v>
      </c>
      <c r="B28" s="8" t="inlineStr">
        <is>
          <t>Torsor en la barra 1 (solución exacta)</t>
        </is>
      </c>
      <c r="C28" s="17" t="inlineStr">
        <is>
          <t>kN·m</t>
        </is>
      </c>
      <c r="D28" s="26">
        <f>ABS($D$16)</f>
        <v/>
      </c>
      <c r="E28" s="25" t="n">
        <v>1.64642082416746</v>
      </c>
      <c r="F28" s="27">
        <f>E28-D28</f>
        <v/>
      </c>
      <c r="G28" s="28">
        <f>IF(ABS(D28)&gt;0.000000000001,F28/D28,"—")</f>
        <v/>
      </c>
      <c r="H28" s="29" t="n">
        <v>0.0001</v>
      </c>
      <c r="I28" s="30" t="n">
        <v>1e-06</v>
      </c>
      <c r="J28" s="31">
        <f>IF(ABS(F28)&lt;=MAX(H28*ABS(D28),I28),"OK","NO")</f>
        <v/>
      </c>
      <c r="K28" s="17" t="inlineStr">
        <is>
          <t>Fórmula</t>
        </is>
      </c>
      <c r="L28" s="9" t="inlineStr">
        <is>
          <t>T</t>
        </is>
      </c>
      <c r="M28" s="9" t="inlineStr">
        <is>
          <t>Barra 1, en x = 0.5·L, torsor T · combinación «C1: 1,0·D»</t>
        </is>
      </c>
      <c r="N28" s="9" t="inlineStr">
        <is>
          <t>Se comparan valores absolutos (la convención de signo es independiente del resultado).</t>
        </is>
      </c>
    </row>
    <row r="29" ht="16" customHeight="1">
      <c r="A29" s="17" t="n">
        <v>10</v>
      </c>
      <c r="B29" s="8" t="inlineStr">
        <is>
          <t>Reacción vertical en cada empotramiento</t>
        </is>
      </c>
      <c r="C29" s="17" t="inlineStr">
        <is>
          <t>kN</t>
        </is>
      </c>
      <c r="D29" s="26">
        <f>$D$13/2</f>
        <v/>
      </c>
      <c r="E29" s="25" t="n">
        <v>11</v>
      </c>
      <c r="F29" s="27">
        <f>E29-D29</f>
        <v/>
      </c>
      <c r="G29" s="28">
        <f>IF(ABS(D29)&gt;0.000000000001,F29/D29,"—")</f>
        <v/>
      </c>
      <c r="H29" s="29" t="n">
        <v>0.0001</v>
      </c>
      <c r="I29" s="30" t="n">
        <v>1e-06</v>
      </c>
      <c r="J29" s="31">
        <f>IF(ABS(F29)&lt;=MAX(H29*ABS(D29),I29),"OK","NO")</f>
        <v/>
      </c>
      <c r="K29" s="17" t="inlineStr">
        <is>
          <t>Fórmula</t>
        </is>
      </c>
      <c r="L29" s="9" t="inlineStr">
        <is>
          <t>P/2</t>
        </is>
      </c>
      <c r="M29" s="9" t="inlineStr">
        <is>
          <t>Reacción Fz en el nudo 1 · combinación «C1: 1,0·D»</t>
        </is>
      </c>
      <c r="N29" s="9" t="inlineStr"/>
    </row>
    <row r="31">
      <c r="B31" s="4" t="inlineStr">
        <is>
          <t>Comprobaciones dentro de tolerancia</t>
        </is>
      </c>
      <c r="D31" s="4">
        <f>COUNTIF(J20:J29,"OK")</f>
        <v/>
      </c>
      <c r="E31" s="4">
        <f>ROWS(J20:J29)</f>
        <v/>
      </c>
      <c r="F31" s="4">
        <f>IF(D31=E31,"VERIFICA","DIFIERE")</f>
        <v/>
      </c>
    </row>
    <row r="32">
      <c r="B32" s="2" t="inlineStr">
        <is>
          <t>Azul = dato ingresado o valor que entregó el programa (pegado); negro = fórmula de Excel. El valor «Programa» es el resultado del motor de cálculo de la app para el mismo modelo.</t>
        </is>
      </c>
    </row>
  </sheetData>
  <mergeCells count="1">
    <mergeCell ref="A4:L4"/>
  </mergeCells>
  <conditionalFormatting sqref="J20:J29">
    <cfRule type="cellIs" priority="1" operator="equal" dxfId="0">
      <formula>"OK"</formula>
    </cfRule>
    <cfRule type="cellIs" priority="2" operator="equal" dxfId="1">
      <formula>"NO"</formula>
    </cfRule>
  </conditionalFormatting>
  <hyperlinks>
    <hyperlink xmlns:r="http://schemas.openxmlformats.org/officeDocument/2006/relationships" ref="A3" r:id="rId1"/>
  </hyperlink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N25"/>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A05 · Barra traccionada IPB 120: resistencia por fluencia (ejemplo INTI-CIRSOC 4)</t>
        </is>
      </c>
    </row>
    <row r="2">
      <c r="A2" s="2" t="inlineStr">
        <is>
          <t>Resultado publicado.  Fuente: INTI-CIRSOC · «Ejemplos de aplicación del Reglamento CIRSOC 301-EL» (Ejemplos 4, 5 y 6)</t>
        </is>
      </c>
    </row>
    <row r="3">
      <c r="A3" s="21" t="inlineStr">
        <is>
          <t>https://www.inti.gob.ar/assets/uploads/files/cirsoc/EJEMPLOS%202/EJEMPLOS%202.2/1_%20ejemplos_301.pdf</t>
        </is>
      </c>
    </row>
    <row r="4" ht="30" customHeight="1">
      <c r="A4" s="14" t="inlineStr">
        <is>
          <t>Enunciado. Barra de acero F-24 (Fy = 235 MPa) con perfil IPB 120 (A = 34,0 cm²), L = 9,00 m y tracción mayorada Tu = 500 kN. El ejemplo publica la resistencia de diseño por fluencia de la sección bruta φt·Pn = 719 kN (φt = 0,90). Se comprueba además el axil y la relación de uso Tu/φt·Pn.</t>
        </is>
      </c>
    </row>
    <row r="5" ht="28" customHeight="1">
      <c r="A5" s="14" t="inlineStr">
        <is>
          <t>Perfil. IPB 120 (tabla): h = 120 mm, b = 120 mm, tw = 6,5 mm, tf = 11 mm, A = 34,0 cm², Ix = 864 cm⁴, Iy = 318 cm⁴.</t>
        </is>
      </c>
    </row>
    <row r="7">
      <c r="A7" s="22" t="inlineStr">
        <is>
          <t>DATOS DEL EJERCICIO</t>
        </is>
      </c>
      <c r="B7" s="22" t="n"/>
      <c r="C7" s="22" t="n"/>
      <c r="D7" s="22" t="n"/>
      <c r="E7" s="22" t="n"/>
      <c r="F7" s="22" t="n"/>
      <c r="G7" s="22" t="n"/>
      <c r="H7" s="22" t="n"/>
      <c r="I7" s="22" t="n"/>
      <c r="J7" s="22" t="n"/>
      <c r="K7" s="22" t="n"/>
      <c r="L7" s="22" t="n"/>
      <c r="M7" s="22" t="n"/>
      <c r="N7" s="22" t="n"/>
    </row>
    <row r="8">
      <c r="A8" s="5" t="inlineStr">
        <is>
          <t>#</t>
        </is>
      </c>
      <c r="B8" s="5" t="inlineStr">
        <is>
          <t>Dato</t>
        </is>
      </c>
      <c r="C8" s="5" t="inlineStr">
        <is>
          <t>Unidad</t>
        </is>
      </c>
      <c r="D8" s="5" t="inlineStr">
        <is>
          <t>Valor</t>
        </is>
      </c>
      <c r="K8" s="5" t="inlineStr">
        <is>
          <t>Símbolo</t>
        </is>
      </c>
      <c r="L8" s="5" t="inlineStr">
        <is>
          <t>Fórmula (texto)</t>
        </is>
      </c>
    </row>
    <row r="9">
      <c r="A9" s="17" t="n">
        <v>1</v>
      </c>
      <c r="B9" s="8" t="inlineStr">
        <is>
          <t>Módulo elástico</t>
        </is>
      </c>
      <c r="C9" s="17" t="inlineStr">
        <is>
          <t>MPa</t>
        </is>
      </c>
      <c r="D9" s="23" t="n">
        <v>200000</v>
      </c>
      <c r="K9" s="17" t="inlineStr">
        <is>
          <t>E</t>
        </is>
      </c>
      <c r="L9" s="24" t="inlineStr">
        <is>
          <t>dato ingresado</t>
        </is>
      </c>
    </row>
    <row r="10">
      <c r="A10" s="17" t="n">
        <v>2</v>
      </c>
      <c r="B10" s="8" t="inlineStr">
        <is>
          <t>Tensión de fluencia F-24</t>
        </is>
      </c>
      <c r="C10" s="17" t="inlineStr">
        <is>
          <t>MPa</t>
        </is>
      </c>
      <c r="D10" s="25" t="n">
        <v>235</v>
      </c>
      <c r="K10" s="17" t="inlineStr">
        <is>
          <t>Fy</t>
        </is>
      </c>
      <c r="L10" s="24" t="inlineStr">
        <is>
          <t>dato ingresado</t>
        </is>
      </c>
    </row>
    <row r="11">
      <c r="A11" s="17" t="n">
        <v>3</v>
      </c>
      <c r="B11" s="8" t="inlineStr">
        <is>
          <t>Área bruta IPB 120</t>
        </is>
      </c>
      <c r="C11" s="17" t="inlineStr">
        <is>
          <t>mm²</t>
        </is>
      </c>
      <c r="D11" s="23" t="n">
        <v>3400</v>
      </c>
      <c r="K11" s="17" t="inlineStr">
        <is>
          <t>A</t>
        </is>
      </c>
      <c r="L11" s="24" t="inlineStr">
        <is>
          <t>dato ingresado</t>
        </is>
      </c>
    </row>
    <row r="12">
      <c r="A12" s="17" t="n">
        <v>4</v>
      </c>
      <c r="B12" s="8" t="inlineStr">
        <is>
          <t>Largo de la barra</t>
        </is>
      </c>
      <c r="C12" s="17" t="inlineStr">
        <is>
          <t>mm</t>
        </is>
      </c>
      <c r="D12" s="23" t="n">
        <v>9000</v>
      </c>
      <c r="K12" s="17" t="inlineStr">
        <is>
          <t>L</t>
        </is>
      </c>
      <c r="L12" s="24" t="inlineStr">
        <is>
          <t>dato ingresado</t>
        </is>
      </c>
    </row>
    <row r="13">
      <c r="A13" s="17" t="n">
        <v>5</v>
      </c>
      <c r="B13" s="8" t="inlineStr">
        <is>
          <t>Tracción mayorada (publicada)</t>
        </is>
      </c>
      <c r="C13" s="17" t="inlineStr">
        <is>
          <t>kN</t>
        </is>
      </c>
      <c r="D13" s="25" t="n">
        <v>500</v>
      </c>
      <c r="K13" s="17" t="inlineStr">
        <is>
          <t>Tu</t>
        </is>
      </c>
      <c r="L13" s="24" t="inlineStr">
        <is>
          <t>dato ingresado</t>
        </is>
      </c>
    </row>
    <row r="14">
      <c r="A14" s="17" t="n">
        <v>6</v>
      </c>
      <c r="B14" s="8" t="inlineStr">
        <is>
          <t>φt·Pn = 0,90·Fy·Ag</t>
        </is>
      </c>
      <c r="C14" s="17" t="inlineStr">
        <is>
          <t>kN</t>
        </is>
      </c>
      <c r="D14" s="26">
        <f>0.9*$D$10*$D$11/1000</f>
        <v/>
      </c>
      <c r="K14" s="17" t="inlineStr">
        <is>
          <t>phiPt</t>
        </is>
      </c>
      <c r="L14" s="24" t="inlineStr">
        <is>
          <t>valor = 0.9*Fy*A/1000</t>
        </is>
      </c>
    </row>
    <row r="16">
      <c r="A16" s="22" t="inlineStr">
        <is>
          <t>COMPARACIÓN: TEORÍA / DATO PUBLICADO  vs  PROGRAMA (Atlas Estructuras 3D)</t>
        </is>
      </c>
      <c r="B16" s="22" t="n"/>
      <c r="C16" s="22" t="n"/>
      <c r="D16" s="22" t="n"/>
      <c r="E16" s="22" t="n"/>
      <c r="F16" s="22" t="n"/>
      <c r="G16" s="22" t="n"/>
      <c r="H16" s="22" t="n"/>
      <c r="I16" s="22" t="n"/>
      <c r="J16" s="22" t="n"/>
      <c r="K16" s="22" t="n"/>
      <c r="L16" s="22" t="n"/>
      <c r="M16" s="22" t="n"/>
      <c r="N16" s="22" t="n"/>
    </row>
    <row r="17" ht="30" customHeight="1">
      <c r="A17" s="5" t="inlineStr">
        <is>
          <t>#</t>
        </is>
      </c>
      <c r="B17" s="5" t="inlineStr">
        <is>
          <t>Comprobación</t>
        </is>
      </c>
      <c r="C17" s="5" t="inlineStr">
        <is>
          <t>Unidad</t>
        </is>
      </c>
      <c r="D17" s="5" t="inlineStr">
        <is>
          <t>Teoría / publicado</t>
        </is>
      </c>
      <c r="E17" s="5" t="inlineStr">
        <is>
          <t>Programa</t>
        </is>
      </c>
      <c r="F17" s="5" t="inlineStr">
        <is>
          <t>Diferencia (prog. − teoría)</t>
        </is>
      </c>
      <c r="G17" s="5" t="inlineStr">
        <is>
          <t>Error relativo</t>
        </is>
      </c>
      <c r="H17" s="5" t="inlineStr">
        <is>
          <t>Tol. relativa</t>
        </is>
      </c>
      <c r="I17" s="5" t="inlineStr">
        <is>
          <t>Tol. absoluta</t>
        </is>
      </c>
      <c r="J17" s="5" t="inlineStr">
        <is>
          <t>Estado</t>
        </is>
      </c>
      <c r="K17" s="5" t="inlineStr">
        <is>
          <t>Origen</t>
        </is>
      </c>
      <c r="L17" s="5" t="inlineStr">
        <is>
          <t>Expresión de la teoría (texto)</t>
        </is>
      </c>
      <c r="M17" s="5" t="inlineStr">
        <is>
          <t>Dónde se lee en el programa</t>
        </is>
      </c>
      <c r="N17" s="5" t="inlineStr">
        <is>
          <t>Nota</t>
        </is>
      </c>
    </row>
    <row r="18" ht="16" customHeight="1">
      <c r="A18" s="17" t="n">
        <v>1</v>
      </c>
      <c r="B18" s="8" t="inlineStr">
        <is>
          <t>Resistencia de diseño por fluencia φt·Pn (publicada)</t>
        </is>
      </c>
      <c r="C18" s="17" t="inlineStr">
        <is>
          <t>kN</t>
        </is>
      </c>
      <c r="D18" s="26">
        <f>719</f>
        <v/>
      </c>
      <c r="E18" s="25" t="n">
        <v>719.1</v>
      </c>
      <c r="F18" s="27">
        <f>E18-D18</f>
        <v/>
      </c>
      <c r="G18" s="28">
        <f>IF(ABS(D18)&gt;0.000000000001,F18/D18,"—")</f>
        <v/>
      </c>
      <c r="H18" s="29" t="n">
        <v>0.001</v>
      </c>
      <c r="I18" s="30" t="n">
        <v>1e-06</v>
      </c>
      <c r="J18" s="31">
        <f>IF(ABS(F18)&lt;=MAX(H18*ABS(D18),I18),"OK","NO")</f>
        <v/>
      </c>
      <c r="K18" s="32" t="inlineStr">
        <is>
          <t>Publicado</t>
        </is>
      </c>
      <c r="L18" s="9" t="inlineStr">
        <is>
          <t>719</t>
        </is>
      </c>
      <c r="M18" s="9" t="inlineStr">
        <is>
          <t>Barra 1: φt·Pn tracción (verificación de perfiles)</t>
        </is>
      </c>
      <c r="N18" s="9" t="inlineStr">
        <is>
          <t>La fuente redondea a 719 kN; la fórmula da 719,1 kN.</t>
        </is>
      </c>
    </row>
    <row r="19" ht="16" customHeight="1">
      <c r="A19" s="17" t="n">
        <v>2</v>
      </c>
      <c r="B19" s="8" t="inlineStr">
        <is>
          <t>Resistencia de diseño φt·Pn (fórmula 0,90·Fy·Ag)</t>
        </is>
      </c>
      <c r="C19" s="17" t="inlineStr">
        <is>
          <t>kN</t>
        </is>
      </c>
      <c r="D19" s="26">
        <f>$D$14</f>
        <v/>
      </c>
      <c r="E19" s="25" t="n">
        <v>719.1</v>
      </c>
      <c r="F19" s="27">
        <f>E19-D19</f>
        <v/>
      </c>
      <c r="G19" s="28">
        <f>IF(ABS(D19)&gt;0.000000000001,F19/D19,"—")</f>
        <v/>
      </c>
      <c r="H19" s="29" t="n">
        <v>0.001</v>
      </c>
      <c r="I19" s="30" t="n">
        <v>1e-06</v>
      </c>
      <c r="J19" s="31">
        <f>IF(ABS(F19)&lt;=MAX(H19*ABS(D19),I19),"OK","NO")</f>
        <v/>
      </c>
      <c r="K19" s="17" t="inlineStr">
        <is>
          <t>Fórmula</t>
        </is>
      </c>
      <c r="L19" s="9" t="inlineStr">
        <is>
          <t>phiPt</t>
        </is>
      </c>
      <c r="M19" s="9" t="inlineStr">
        <is>
          <t>Barra 1: φt·Pn tracción (verificación de perfiles)</t>
        </is>
      </c>
      <c r="N19" s="9" t="inlineStr"/>
    </row>
    <row r="20" ht="28" customHeight="1">
      <c r="A20" s="17" t="n">
        <v>3</v>
      </c>
      <c r="B20" s="8" t="inlineStr">
        <is>
          <t>Esfuerzo axil en la barra (tracción +)</t>
        </is>
      </c>
      <c r="C20" s="17" t="inlineStr">
        <is>
          <t>kN</t>
        </is>
      </c>
      <c r="D20" s="26">
        <f>$D$13</f>
        <v/>
      </c>
      <c r="E20" s="25" t="n">
        <v>499.9999999999999</v>
      </c>
      <c r="F20" s="27">
        <f>E20-D20</f>
        <v/>
      </c>
      <c r="G20" s="28">
        <f>IF(ABS(D20)&gt;0.000000000001,F20/D20,"—")</f>
        <v/>
      </c>
      <c r="H20" s="29" t="n">
        <v>0.001</v>
      </c>
      <c r="I20" s="30" t="n">
        <v>1e-06</v>
      </c>
      <c r="J20" s="31">
        <f>IF(ABS(F20)&lt;=MAX(H20*ABS(D20),I20),"OK","NO")</f>
        <v/>
      </c>
      <c r="K20" s="17" t="inlineStr">
        <is>
          <t>Fórmula</t>
        </is>
      </c>
      <c r="L20" s="9" t="inlineStr">
        <is>
          <t>Tu</t>
        </is>
      </c>
      <c r="M20" s="9" t="inlineStr">
        <is>
          <t>Barra 1, en x = 0.5·L, esfuerzo axil N (tracción +) · combinación «C1: Tu mayorada»</t>
        </is>
      </c>
      <c r="N20" s="9" t="inlineStr"/>
    </row>
    <row r="21" ht="16" customHeight="1">
      <c r="A21" s="17" t="n">
        <v>4</v>
      </c>
      <c r="B21" s="8" t="inlineStr">
        <is>
          <t>Reacción horizontal en el apoyo fijo</t>
        </is>
      </c>
      <c r="C21" s="17" t="inlineStr">
        <is>
          <t>kN</t>
        </is>
      </c>
      <c r="D21" s="26">
        <f>-$D$13</f>
        <v/>
      </c>
      <c r="E21" s="25" t="n">
        <v>-499.9999999999999</v>
      </c>
      <c r="F21" s="27">
        <f>E21-D21</f>
        <v/>
      </c>
      <c r="G21" s="28">
        <f>IF(ABS(D21)&gt;0.000000000001,F21/D21,"—")</f>
        <v/>
      </c>
      <c r="H21" s="29" t="n">
        <v>0.001</v>
      </c>
      <c r="I21" s="30" t="n">
        <v>1e-06</v>
      </c>
      <c r="J21" s="31">
        <f>IF(ABS(F21)&lt;=MAX(H21*ABS(D21),I21),"OK","NO")</f>
        <v/>
      </c>
      <c r="K21" s="17" t="inlineStr">
        <is>
          <t>Fórmula</t>
        </is>
      </c>
      <c r="L21" s="9" t="inlineStr">
        <is>
          <t>-Tu</t>
        </is>
      </c>
      <c r="M21" s="9" t="inlineStr">
        <is>
          <t>Reacción Fx en el nudo 1 · combinación «C1: Tu mayorada»</t>
        </is>
      </c>
      <c r="N21" s="9" t="inlineStr"/>
    </row>
    <row r="22" ht="28" customHeight="1">
      <c r="A22" s="17" t="n">
        <v>5</v>
      </c>
      <c r="B22" s="8" t="inlineStr">
        <is>
          <t>Relación de uso Tu / φt·Pn</t>
        </is>
      </c>
      <c r="C22" s="17" t="inlineStr"/>
      <c r="D22" s="36">
        <f>$D$13/$D$14</f>
        <v/>
      </c>
      <c r="E22" s="37" t="n">
        <v>0.6953135864274788</v>
      </c>
      <c r="F22" s="27">
        <f>E22-D22</f>
        <v/>
      </c>
      <c r="G22" s="28">
        <f>IF(ABS(D22)&gt;0.000000000001,F22/D22,"—")</f>
        <v/>
      </c>
      <c r="H22" s="29" t="n">
        <v>0.001</v>
      </c>
      <c r="I22" s="30" t="n">
        <v>1e-06</v>
      </c>
      <c r="J22" s="31">
        <f>IF(ABS(F22)&lt;=MAX(H22*ABS(D22),I22),"OK","NO")</f>
        <v/>
      </c>
      <c r="K22" s="17" t="inlineStr">
        <is>
          <t>Fórmula</t>
        </is>
      </c>
      <c r="L22" s="9" t="inlineStr">
        <is>
          <t>Tu/phiPt</t>
        </is>
      </c>
      <c r="M22" s="9" t="inlineStr">
        <is>
          <t>Barra 1: relación de uso r máxima entre combinaciones de resistencia</t>
        </is>
      </c>
      <c r="N22" s="9" t="inlineStr"/>
    </row>
    <row r="24">
      <c r="B24" s="4" t="inlineStr">
        <is>
          <t>Comprobaciones dentro de tolerancia</t>
        </is>
      </c>
      <c r="D24" s="4">
        <f>COUNTIF(J18:J22,"OK")</f>
        <v/>
      </c>
      <c r="E24" s="4">
        <f>ROWS(J18:J22)</f>
        <v/>
      </c>
      <c r="F24" s="4">
        <f>IF(D24=E24,"VERIFICA","DIFIERE")</f>
        <v/>
      </c>
    </row>
    <row r="25">
      <c r="B25" s="2" t="inlineStr">
        <is>
          <t>Azul = dato ingresado o valor que entregó el programa (pegado); negro = fórmula de Excel. El valor «Programa» es el resultado del motor de cálculo de la app para el mismo modelo.</t>
        </is>
      </c>
    </row>
  </sheetData>
  <mergeCells count="2">
    <mergeCell ref="A5:L5"/>
    <mergeCell ref="A4:L4"/>
  </mergeCells>
  <conditionalFormatting sqref="J18:J22">
    <cfRule type="cellIs" priority="1" operator="equal" dxfId="0">
      <formula>"OK"</formula>
    </cfRule>
    <cfRule type="cellIs" priority="2" operator="equal" dxfId="1">
      <formula>"NO"</formula>
    </cfRule>
  </conditionalFormatting>
  <hyperlinks>
    <hyperlink xmlns:r="http://schemas.openxmlformats.org/officeDocument/2006/relationships" ref="A3" r:id="rId1"/>
  </hyperlink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N27"/>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A06 · Viga IPE 500 de 16 m: esfuerzos mayorados 1,2D + 1,6L (ejemplo INTI-CIRSOC 5)</t>
        </is>
      </c>
    </row>
    <row r="2">
      <c r="A2" s="2" t="inlineStr">
        <is>
          <t>Resultado publicado.  Fuente: INTI-CIRSOC · «Ejemplos de aplicación del Reglamento CIRSOC 301-EL» (Ejemplos 4, 5 y 6)</t>
        </is>
      </c>
    </row>
    <row r="3">
      <c r="A3" s="21" t="inlineStr">
        <is>
          <t>https://www.inti.gob.ar/assets/uploads/files/cirsoc/EJEMPLOS%202/EJEMPLOS%202.2/1_%20ejemplos_301.pdf</t>
        </is>
      </c>
    </row>
    <row r="4" ht="40.5" customHeight="1">
      <c r="A4" s="14" t="inlineStr">
        <is>
          <t>Enunciado. Viga biapoyada de 16,00 m con D = 2 kN/m y L = 5 kN/m. El ejemplo calcula qu = 1,2D + 1,6L = 10,4 kN/m, el momento máximo Mu = 332,8 kN·m, y en la sección del empalme (x = 4 m) un momento Mf + Mw = 194,17 + 55,43 = 249,60 kN·m y un corte Vu = 41,6 kN. Se verifica que el programa, con la combinación U2, entregue los mismos esfuerzos.</t>
        </is>
      </c>
    </row>
    <row r="5" ht="28" customHeight="1">
      <c r="A5" s="14" t="inlineStr">
        <is>
          <t>Perfil. IPE 500 (tabla): h = 500 mm, b = 200 mm, tw = 10,2 mm, tf = 16 mm, A = 116 cm², Ix = 48 200 cm⁴, Iy = 2 140 cm⁴.</t>
        </is>
      </c>
    </row>
    <row r="7">
      <c r="A7" s="22" t="inlineStr">
        <is>
          <t>DATOS DEL EJERCICIO</t>
        </is>
      </c>
      <c r="B7" s="22" t="n"/>
      <c r="C7" s="22" t="n"/>
      <c r="D7" s="22" t="n"/>
      <c r="E7" s="22" t="n"/>
      <c r="F7" s="22" t="n"/>
      <c r="G7" s="22" t="n"/>
      <c r="H7" s="22" t="n"/>
      <c r="I7" s="22" t="n"/>
      <c r="J7" s="22" t="n"/>
      <c r="K7" s="22" t="n"/>
      <c r="L7" s="22" t="n"/>
      <c r="M7" s="22" t="n"/>
      <c r="N7" s="22" t="n"/>
    </row>
    <row r="8">
      <c r="A8" s="5" t="inlineStr">
        <is>
          <t>#</t>
        </is>
      </c>
      <c r="B8" s="5" t="inlineStr">
        <is>
          <t>Dato</t>
        </is>
      </c>
      <c r="C8" s="5" t="inlineStr">
        <is>
          <t>Unidad</t>
        </is>
      </c>
      <c r="D8" s="5" t="inlineStr">
        <is>
          <t>Valor</t>
        </is>
      </c>
      <c r="K8" s="5" t="inlineStr">
        <is>
          <t>Símbolo</t>
        </is>
      </c>
      <c r="L8" s="5" t="inlineStr">
        <is>
          <t>Fórmula (texto)</t>
        </is>
      </c>
    </row>
    <row r="9">
      <c r="A9" s="17" t="n">
        <v>1</v>
      </c>
      <c r="B9" s="8" t="inlineStr">
        <is>
          <t>Módulo elástico</t>
        </is>
      </c>
      <c r="C9" s="17" t="inlineStr">
        <is>
          <t>MPa</t>
        </is>
      </c>
      <c r="D9" s="23" t="n">
        <v>200000</v>
      </c>
      <c r="K9" s="17" t="inlineStr">
        <is>
          <t>E</t>
        </is>
      </c>
      <c r="L9" s="24" t="inlineStr">
        <is>
          <t>dato ingresado</t>
        </is>
      </c>
    </row>
    <row r="10">
      <c r="A10" s="17" t="n">
        <v>2</v>
      </c>
      <c r="B10" s="8" t="inlineStr">
        <is>
          <t>Luz</t>
        </is>
      </c>
      <c r="C10" s="17" t="inlineStr">
        <is>
          <t>mm</t>
        </is>
      </c>
      <c r="D10" s="23" t="n">
        <v>16000</v>
      </c>
      <c r="K10" s="17" t="inlineStr">
        <is>
          <t>L</t>
        </is>
      </c>
      <c r="L10" s="24" t="inlineStr">
        <is>
          <t>dato ingresado</t>
        </is>
      </c>
    </row>
    <row r="11">
      <c r="A11" s="17" t="n">
        <v>3</v>
      </c>
      <c r="B11" s="8" t="inlineStr">
        <is>
          <t>Carga permanente</t>
        </is>
      </c>
      <c r="C11" s="17" t="inlineStr">
        <is>
          <t>kN/m</t>
        </is>
      </c>
      <c r="D11" s="25" t="n">
        <v>2</v>
      </c>
      <c r="K11" s="17" t="inlineStr">
        <is>
          <t>qD</t>
        </is>
      </c>
      <c r="L11" s="24" t="inlineStr">
        <is>
          <t>dato ingresado</t>
        </is>
      </c>
    </row>
    <row r="12">
      <c r="A12" s="17" t="n">
        <v>4</v>
      </c>
      <c r="B12" s="8" t="inlineStr">
        <is>
          <t>Sobrecarga</t>
        </is>
      </c>
      <c r="C12" s="17" t="inlineStr">
        <is>
          <t>kN/m</t>
        </is>
      </c>
      <c r="D12" s="25" t="n">
        <v>5</v>
      </c>
      <c r="K12" s="17" t="inlineStr">
        <is>
          <t>qL</t>
        </is>
      </c>
      <c r="L12" s="24" t="inlineStr">
        <is>
          <t>dato ingresado</t>
        </is>
      </c>
    </row>
    <row r="13">
      <c r="A13" s="17" t="n">
        <v>5</v>
      </c>
      <c r="B13" s="8" t="inlineStr">
        <is>
          <t>Sección del empalme</t>
        </is>
      </c>
      <c r="C13" s="17" t="inlineStr">
        <is>
          <t>mm</t>
        </is>
      </c>
      <c r="D13" s="23" t="n">
        <v>4000</v>
      </c>
      <c r="K13" s="17" t="inlineStr">
        <is>
          <t>xs</t>
        </is>
      </c>
      <c r="L13" s="24" t="inlineStr">
        <is>
          <t>dato ingresado</t>
        </is>
      </c>
    </row>
    <row r="14">
      <c r="A14" s="17" t="n">
        <v>6</v>
      </c>
      <c r="B14" s="8" t="inlineStr">
        <is>
          <t>Carga mayorada</t>
        </is>
      </c>
      <c r="C14" s="17" t="inlineStr">
        <is>
          <t>kN/m</t>
        </is>
      </c>
      <c r="D14" s="26">
        <f>1.2*$D$11+1.6*$D$12</f>
        <v/>
      </c>
      <c r="K14" s="17" t="inlineStr">
        <is>
          <t>qu</t>
        </is>
      </c>
      <c r="L14" s="24" t="inlineStr">
        <is>
          <t>valor = 1.2*qD+1.6*qL</t>
        </is>
      </c>
    </row>
    <row r="15">
      <c r="A15" s="17" t="n">
        <v>7</v>
      </c>
      <c r="B15" s="8" t="inlineStr">
        <is>
          <t>Momento máximo</t>
        </is>
      </c>
      <c r="C15" s="17" t="inlineStr">
        <is>
          <t>kN·m</t>
        </is>
      </c>
      <c r="D15" s="26">
        <f>$D$14*$D$10^2/8/1000000</f>
        <v/>
      </c>
      <c r="K15" s="17" t="inlineStr">
        <is>
          <t>Mu</t>
        </is>
      </c>
      <c r="L15" s="24" t="inlineStr">
        <is>
          <t>valor = qu*L^2/8/1000000</t>
        </is>
      </c>
    </row>
    <row r="16">
      <c r="A16" s="17" t="n">
        <v>8</v>
      </c>
      <c r="B16" s="8" t="inlineStr">
        <is>
          <t>Momento en x = 4 m</t>
        </is>
      </c>
      <c r="C16" s="17" t="inlineStr">
        <is>
          <t>kN·m</t>
        </is>
      </c>
      <c r="D16" s="26">
        <f>$D$14*$D$13*($D$10-$D$13)/2/1000000</f>
        <v/>
      </c>
      <c r="K16" s="17" t="inlineStr">
        <is>
          <t>Ms</t>
        </is>
      </c>
      <c r="L16" s="24" t="inlineStr">
        <is>
          <t>valor = qu*xs*(L-xs)/2/1000000</t>
        </is>
      </c>
    </row>
    <row r="17">
      <c r="A17" s="17" t="n">
        <v>9</v>
      </c>
      <c r="B17" s="8" t="inlineStr">
        <is>
          <t>Corte en x = 4 m</t>
        </is>
      </c>
      <c r="C17" s="17" t="inlineStr">
        <is>
          <t>kN</t>
        </is>
      </c>
      <c r="D17" s="26">
        <f>$D$14*($D$10/2-$D$13)/1000</f>
        <v/>
      </c>
      <c r="K17" s="17" t="inlineStr">
        <is>
          <t>Vs</t>
        </is>
      </c>
      <c r="L17" s="24" t="inlineStr">
        <is>
          <t>valor = qu*(L/2-xs)/1000</t>
        </is>
      </c>
    </row>
    <row r="19">
      <c r="A19" s="22" t="inlineStr">
        <is>
          <t>COMPARACIÓN: TEORÍA / DATO PUBLICADO  vs  PROGRAMA (Atlas Estructuras 3D)</t>
        </is>
      </c>
      <c r="B19" s="22" t="n"/>
      <c r="C19" s="22" t="n"/>
      <c r="D19" s="22" t="n"/>
      <c r="E19" s="22" t="n"/>
      <c r="F19" s="22" t="n"/>
      <c r="G19" s="22" t="n"/>
      <c r="H19" s="22" t="n"/>
      <c r="I19" s="22" t="n"/>
      <c r="J19" s="22" t="n"/>
      <c r="K19" s="22" t="n"/>
      <c r="L19" s="22" t="n"/>
      <c r="M19" s="22" t="n"/>
      <c r="N19" s="22" t="n"/>
    </row>
    <row r="20" ht="30" customHeight="1">
      <c r="A20" s="5" t="inlineStr">
        <is>
          <t>#</t>
        </is>
      </c>
      <c r="B20" s="5" t="inlineStr">
        <is>
          <t>Comprobación</t>
        </is>
      </c>
      <c r="C20" s="5" t="inlineStr">
        <is>
          <t>Unidad</t>
        </is>
      </c>
      <c r="D20" s="5" t="inlineStr">
        <is>
          <t>Teoría / publicado</t>
        </is>
      </c>
      <c r="E20" s="5" t="inlineStr">
        <is>
          <t>Programa</t>
        </is>
      </c>
      <c r="F20" s="5" t="inlineStr">
        <is>
          <t>Diferencia (prog. − teoría)</t>
        </is>
      </c>
      <c r="G20" s="5" t="inlineStr">
        <is>
          <t>Error relativo</t>
        </is>
      </c>
      <c r="H20" s="5" t="inlineStr">
        <is>
          <t>Tol. relativa</t>
        </is>
      </c>
      <c r="I20" s="5" t="inlineStr">
        <is>
          <t>Tol. absoluta</t>
        </is>
      </c>
      <c r="J20" s="5" t="inlineStr">
        <is>
          <t>Estado</t>
        </is>
      </c>
      <c r="K20" s="5" t="inlineStr">
        <is>
          <t>Origen</t>
        </is>
      </c>
      <c r="L20" s="5" t="inlineStr">
        <is>
          <t>Expresión de la teoría (texto)</t>
        </is>
      </c>
      <c r="M20" s="5" t="inlineStr">
        <is>
          <t>Dónde se lee en el programa</t>
        </is>
      </c>
      <c r="N20" s="5" t="inlineStr">
        <is>
          <t>Nota</t>
        </is>
      </c>
    </row>
    <row r="21" ht="28" customHeight="1">
      <c r="A21" s="17" t="n">
        <v>1</v>
      </c>
      <c r="B21" s="8" t="inlineStr">
        <is>
          <t>Momento máximo Mu en el centro (publicado)</t>
        </is>
      </c>
      <c r="C21" s="17" t="inlineStr">
        <is>
          <t>kN·m</t>
        </is>
      </c>
      <c r="D21" s="26">
        <f>ABS(332.8)</f>
        <v/>
      </c>
      <c r="E21" s="25" t="n">
        <v>332.7999999815878</v>
      </c>
      <c r="F21" s="27">
        <f>E21-D21</f>
        <v/>
      </c>
      <c r="G21" s="28">
        <f>IF(ABS(D21)&gt;0.000000000001,F21/D21,"—")</f>
        <v/>
      </c>
      <c r="H21" s="29" t="n">
        <v>0.0001</v>
      </c>
      <c r="I21" s="30" t="n">
        <v>1e-06</v>
      </c>
      <c r="J21" s="31">
        <f>IF(ABS(F21)&lt;=MAX(H21*ABS(D21),I21),"OK","NO")</f>
        <v/>
      </c>
      <c r="K21" s="32" t="inlineStr">
        <is>
          <t>Publicado</t>
        </is>
      </c>
      <c r="L21" s="9" t="inlineStr">
        <is>
          <t>332.8</t>
        </is>
      </c>
      <c r="M21" s="9" t="inlineStr">
        <is>
          <t>Barra 1, en x = 0.5·L, momento flector Mz (eje fuerte) · combinación «U2: 1,2D+1,6L»</t>
        </is>
      </c>
      <c r="N21" s="9" t="inlineStr">
        <is>
          <t>Se comparan valores absolutos (la convención de signo es independiente del resultado).</t>
        </is>
      </c>
    </row>
    <row r="22" ht="28" customHeight="1">
      <c r="A22" s="17" t="n">
        <v>2</v>
      </c>
      <c r="B22" s="8" t="inlineStr">
        <is>
          <t>Momento en la sección del empalme, Mf + Mw (publicado)</t>
        </is>
      </c>
      <c r="C22" s="17" t="inlineStr">
        <is>
          <t>kN·m</t>
        </is>
      </c>
      <c r="D22" s="26">
        <f>ABS(194.17+55.43)</f>
        <v/>
      </c>
      <c r="E22" s="25" t="n">
        <v>249.5999999815878</v>
      </c>
      <c r="F22" s="27">
        <f>E22-D22</f>
        <v/>
      </c>
      <c r="G22" s="28">
        <f>IF(ABS(D22)&gt;0.000000000001,F22/D22,"—")</f>
        <v/>
      </c>
      <c r="H22" s="29" t="n">
        <v>0.0001</v>
      </c>
      <c r="I22" s="30" t="n">
        <v>1e-06</v>
      </c>
      <c r="J22" s="31">
        <f>IF(ABS(F22)&lt;=MAX(H22*ABS(D22),I22),"OK","NO")</f>
        <v/>
      </c>
      <c r="K22" s="32" t="inlineStr">
        <is>
          <t>Publicado</t>
        </is>
      </c>
      <c r="L22" s="9" t="inlineStr">
        <is>
          <t>194.17+55.43</t>
        </is>
      </c>
      <c r="M22" s="9" t="inlineStr">
        <is>
          <t>Barra 1, en x = 0.25·L, momento flector Mz (eje fuerte) · combinación «U2: 1,2D+1,6L»</t>
        </is>
      </c>
      <c r="N22" s="9" t="inlineStr">
        <is>
          <t>Se comparan valores absolutos (la convención de signo es independiente del resultado).</t>
        </is>
      </c>
    </row>
    <row r="23" ht="28" customHeight="1">
      <c r="A23" s="17" t="n">
        <v>3</v>
      </c>
      <c r="B23" s="8" t="inlineStr">
        <is>
          <t>Corte Vu en la sección del empalme (publicado)</t>
        </is>
      </c>
      <c r="C23" s="17" t="inlineStr">
        <is>
          <t>kN</t>
        </is>
      </c>
      <c r="D23" s="26">
        <f>ABS(41.6)</f>
        <v/>
      </c>
      <c r="E23" s="25" t="n">
        <v>41.59999999999998</v>
      </c>
      <c r="F23" s="27">
        <f>E23-D23</f>
        <v/>
      </c>
      <c r="G23" s="28">
        <f>IF(ABS(D23)&gt;0.000000000001,F23/D23,"—")</f>
        <v/>
      </c>
      <c r="H23" s="29" t="n">
        <v>0.0001</v>
      </c>
      <c r="I23" s="30" t="n">
        <v>1e-06</v>
      </c>
      <c r="J23" s="31">
        <f>IF(ABS(F23)&lt;=MAX(H23*ABS(D23),I23),"OK","NO")</f>
        <v/>
      </c>
      <c r="K23" s="32" t="inlineStr">
        <is>
          <t>Publicado</t>
        </is>
      </c>
      <c r="L23" s="9" t="inlineStr">
        <is>
          <t>41.6</t>
        </is>
      </c>
      <c r="M23" s="9" t="inlineStr">
        <is>
          <t>Barra 1, en x = 0.25·L, corte Vy (en el plano del alma) · combinación «U2: 1,2D+1,6L»</t>
        </is>
      </c>
      <c r="N23" s="9" t="inlineStr">
        <is>
          <t>Se comparan valores absolutos (la convención de signo es independiente del resultado).</t>
        </is>
      </c>
    </row>
    <row r="24" ht="16" customHeight="1">
      <c r="A24" s="17" t="n">
        <v>4</v>
      </c>
      <c r="B24" s="8" t="inlineStr">
        <is>
          <t>Reacción en el apoyo A</t>
        </is>
      </c>
      <c r="C24" s="17" t="inlineStr">
        <is>
          <t>kN</t>
        </is>
      </c>
      <c r="D24" s="26">
        <f>$D$14*$D$10/2000</f>
        <v/>
      </c>
      <c r="E24" s="25" t="n">
        <v>83.2</v>
      </c>
      <c r="F24" s="27">
        <f>E24-D24</f>
        <v/>
      </c>
      <c r="G24" s="28">
        <f>IF(ABS(D24)&gt;0.000000000001,F24/D24,"—")</f>
        <v/>
      </c>
      <c r="H24" s="29" t="n">
        <v>0.0001</v>
      </c>
      <c r="I24" s="30" t="n">
        <v>1e-06</v>
      </c>
      <c r="J24" s="31">
        <f>IF(ABS(F24)&lt;=MAX(H24*ABS(D24),I24),"OK","NO")</f>
        <v/>
      </c>
      <c r="K24" s="17" t="inlineStr">
        <is>
          <t>Fórmula</t>
        </is>
      </c>
      <c r="L24" s="9" t="inlineStr">
        <is>
          <t>qu*L/2000</t>
        </is>
      </c>
      <c r="M24" s="9" t="inlineStr">
        <is>
          <t>Reacción Fz en el nudo 1 · combinación «U2: 1,2D+1,6L»</t>
        </is>
      </c>
      <c r="N24" s="9" t="inlineStr"/>
    </row>
    <row r="26">
      <c r="B26" s="4" t="inlineStr">
        <is>
          <t>Comprobaciones dentro de tolerancia</t>
        </is>
      </c>
      <c r="D26" s="4">
        <f>COUNTIF(J21:J24,"OK")</f>
        <v/>
      </c>
      <c r="E26" s="4">
        <f>ROWS(J21:J24)</f>
        <v/>
      </c>
      <c r="F26" s="4">
        <f>IF(D26=E26,"VERIFICA","DIFIERE")</f>
        <v/>
      </c>
    </row>
    <row r="27">
      <c r="B27" s="2" t="inlineStr">
        <is>
          <t>Azul = dato ingresado o valor que entregó el programa (pegado); negro = fórmula de Excel. El valor «Programa» es el resultado del motor de cálculo de la app para el mismo modelo.</t>
        </is>
      </c>
    </row>
  </sheetData>
  <mergeCells count="2">
    <mergeCell ref="A5:L5"/>
    <mergeCell ref="A4:L4"/>
  </mergeCells>
  <conditionalFormatting sqref="J21:J24">
    <cfRule type="cellIs" priority="1" operator="equal" dxfId="0">
      <formula>"OK"</formula>
    </cfRule>
    <cfRule type="cellIs" priority="2" operator="equal" dxfId="1">
      <formula>"NO"</formula>
    </cfRule>
  </conditionalFormatting>
  <hyperlinks>
    <hyperlink xmlns:r="http://schemas.openxmlformats.org/officeDocument/2006/relationships" ref="A3" r:id="rId1"/>
  </hyperlink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N25"/>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A07 · Viga PNI 300 de 10 m: momento mayorado y resistencia φb·Mp (ejemplo INTI-CIRSOC 6)</t>
        </is>
      </c>
    </row>
    <row r="2">
      <c r="A2" s="2" t="inlineStr">
        <is>
          <t>Resultado publicado.  Fuente: INTI-CIRSOC · «Ejemplos de aplicación del Reglamento CIRSOC 301-EL» (Ejemplos 4, 5 y 6)</t>
        </is>
      </c>
    </row>
    <row r="3">
      <c r="A3" s="21" t="inlineStr">
        <is>
          <t>https://www.inti.gob.ar/assets/uploads/files/cirsoc/EJEMPLOS%202/EJEMPLOS%202.2/1_%20ejemplos_301.pdf</t>
        </is>
      </c>
    </row>
    <row r="4" ht="54" customHeight="1">
      <c r="A4" s="14" t="inlineStr">
        <is>
          <t>Enunciado. Viga biapoyada de 10,00 m con carga mayorada qu = 22 kN/m, de acero F-24 (Fy = 235 MPa), con arriostramiento lateral continuo (Lb ≤ Lp). El ejemplo publica Mu = 275 kN·m y la resistencia del perfil solo φb·Mp = 161,16 kN·m (Zx de tabla = 762 cm³), por lo que agrega una platabanda (esa parte no puede reproducirse con el modelo de secciones del programa). El programa estima el módulo plástico con la geometría simplificada de la sección, que en el PNI 300 resulta 0,8 % mayor que el de tabla; por eso la fila de resistencia admite 1,5 %.</t>
        </is>
      </c>
    </row>
    <row r="5" ht="28" customHeight="1">
      <c r="A5" s="14" t="inlineStr">
        <is>
          <t>Perfil. PNI 300 (IPN 300, tabla): h = 300 mm, b = 125 mm, tw = 10,8 mm, tf = 16,2 mm (medio), A = 69,1 cm², Ix = 9 800 cm⁴, Iy = 451 cm⁴, Wx = 653 cm³, Zx = 762 cm³.</t>
        </is>
      </c>
    </row>
    <row r="7">
      <c r="A7" s="22" t="inlineStr">
        <is>
          <t>DATOS DEL EJERCICIO</t>
        </is>
      </c>
      <c r="B7" s="22" t="n"/>
      <c r="C7" s="22" t="n"/>
      <c r="D7" s="22" t="n"/>
      <c r="E7" s="22" t="n"/>
      <c r="F7" s="22" t="n"/>
      <c r="G7" s="22" t="n"/>
      <c r="H7" s="22" t="n"/>
      <c r="I7" s="22" t="n"/>
      <c r="J7" s="22" t="n"/>
      <c r="K7" s="22" t="n"/>
      <c r="L7" s="22" t="n"/>
      <c r="M7" s="22" t="n"/>
      <c r="N7" s="22" t="n"/>
    </row>
    <row r="8">
      <c r="A8" s="5" t="inlineStr">
        <is>
          <t>#</t>
        </is>
      </c>
      <c r="B8" s="5" t="inlineStr">
        <is>
          <t>Dato</t>
        </is>
      </c>
      <c r="C8" s="5" t="inlineStr">
        <is>
          <t>Unidad</t>
        </is>
      </c>
      <c r="D8" s="5" t="inlineStr">
        <is>
          <t>Valor</t>
        </is>
      </c>
      <c r="K8" s="5" t="inlineStr">
        <is>
          <t>Símbolo</t>
        </is>
      </c>
      <c r="L8" s="5" t="inlineStr">
        <is>
          <t>Fórmula (texto)</t>
        </is>
      </c>
    </row>
    <row r="9">
      <c r="A9" s="17" t="n">
        <v>1</v>
      </c>
      <c r="B9" s="8" t="inlineStr">
        <is>
          <t>Módulo elástico</t>
        </is>
      </c>
      <c r="C9" s="17" t="inlineStr">
        <is>
          <t>MPa</t>
        </is>
      </c>
      <c r="D9" s="23" t="n">
        <v>200000</v>
      </c>
      <c r="K9" s="17" t="inlineStr">
        <is>
          <t>E</t>
        </is>
      </c>
      <c r="L9" s="24" t="inlineStr">
        <is>
          <t>dato ingresado</t>
        </is>
      </c>
    </row>
    <row r="10">
      <c r="A10" s="17" t="n">
        <v>2</v>
      </c>
      <c r="B10" s="8" t="inlineStr">
        <is>
          <t>Tensión de fluencia F-24</t>
        </is>
      </c>
      <c r="C10" s="17" t="inlineStr">
        <is>
          <t>MPa</t>
        </is>
      </c>
      <c r="D10" s="25" t="n">
        <v>235</v>
      </c>
      <c r="K10" s="17" t="inlineStr">
        <is>
          <t>Fy</t>
        </is>
      </c>
      <c r="L10" s="24" t="inlineStr">
        <is>
          <t>dato ingresado</t>
        </is>
      </c>
    </row>
    <row r="11">
      <c r="A11" s="17" t="n">
        <v>3</v>
      </c>
      <c r="B11" s="8" t="inlineStr">
        <is>
          <t>Luz</t>
        </is>
      </c>
      <c r="C11" s="17" t="inlineStr">
        <is>
          <t>mm</t>
        </is>
      </c>
      <c r="D11" s="23" t="n">
        <v>10000</v>
      </c>
      <c r="K11" s="17" t="inlineStr">
        <is>
          <t>L</t>
        </is>
      </c>
      <c r="L11" s="24" t="inlineStr">
        <is>
          <t>dato ingresado</t>
        </is>
      </c>
    </row>
    <row r="12">
      <c r="A12" s="17" t="n">
        <v>4</v>
      </c>
      <c r="B12" s="8" t="inlineStr">
        <is>
          <t>Carga mayorada (publicada)</t>
        </is>
      </c>
      <c r="C12" s="17" t="inlineStr">
        <is>
          <t>kN/m</t>
        </is>
      </c>
      <c r="D12" s="25" t="n">
        <v>22</v>
      </c>
      <c r="K12" s="17" t="inlineStr">
        <is>
          <t>qu</t>
        </is>
      </c>
      <c r="L12" s="24" t="inlineStr">
        <is>
          <t>dato ingresado</t>
        </is>
      </c>
    </row>
    <row r="13">
      <c r="A13" s="17" t="n">
        <v>5</v>
      </c>
      <c r="B13" s="8" t="inlineStr">
        <is>
          <t>Momento máximo</t>
        </is>
      </c>
      <c r="C13" s="17" t="inlineStr">
        <is>
          <t>kN·m</t>
        </is>
      </c>
      <c r="D13" s="26">
        <f>$D$12*$D$11^2/8/1000000</f>
        <v/>
      </c>
      <c r="K13" s="17" t="inlineStr">
        <is>
          <t>Mu</t>
        </is>
      </c>
      <c r="L13" s="24" t="inlineStr">
        <is>
          <t>valor = qu*L^2/8/1000000</t>
        </is>
      </c>
    </row>
    <row r="14">
      <c r="A14" s="17" t="n">
        <v>6</v>
      </c>
      <c r="B14" s="8" t="inlineStr">
        <is>
          <t>Módulo plástico de tabla</t>
        </is>
      </c>
      <c r="C14" s="17" t="inlineStr">
        <is>
          <t>mm³</t>
        </is>
      </c>
      <c r="D14" s="23" t="n">
        <v>762000</v>
      </c>
      <c r="K14" s="17" t="inlineStr">
        <is>
          <t>Zx</t>
        </is>
      </c>
      <c r="L14" s="24" t="inlineStr">
        <is>
          <t>dato ingresado</t>
        </is>
      </c>
    </row>
    <row r="15">
      <c r="A15" s="17" t="n">
        <v>7</v>
      </c>
      <c r="B15" s="8" t="inlineStr">
        <is>
          <t>φb·Mp con el Zx de tabla (publicado: 161,16)</t>
        </is>
      </c>
      <c r="C15" s="17" t="inlineStr">
        <is>
          <t>kN·m</t>
        </is>
      </c>
      <c r="D15" s="26">
        <f>0.9*$D$10*$D$14/1000000</f>
        <v/>
      </c>
      <c r="K15" s="17" t="inlineStr">
        <is>
          <t>phiMp</t>
        </is>
      </c>
      <c r="L15" s="24" t="inlineStr">
        <is>
          <t>valor = 0.9*Fy*Zx/1000000</t>
        </is>
      </c>
    </row>
    <row r="17">
      <c r="A17" s="22" t="inlineStr">
        <is>
          <t>COMPARACIÓN: TEORÍA / DATO PUBLICADO  vs  PROGRAMA (Atlas Estructuras 3D)</t>
        </is>
      </c>
      <c r="B17" s="22" t="n"/>
      <c r="C17" s="22" t="n"/>
      <c r="D17" s="22" t="n"/>
      <c r="E17" s="22" t="n"/>
      <c r="F17" s="22" t="n"/>
      <c r="G17" s="22" t="n"/>
      <c r="H17" s="22" t="n"/>
      <c r="I17" s="22" t="n"/>
      <c r="J17" s="22" t="n"/>
      <c r="K17" s="22" t="n"/>
      <c r="L17" s="22" t="n"/>
      <c r="M17" s="22" t="n"/>
      <c r="N17" s="22" t="n"/>
    </row>
    <row r="18" ht="30" customHeight="1">
      <c r="A18" s="5" t="inlineStr">
        <is>
          <t>#</t>
        </is>
      </c>
      <c r="B18" s="5" t="inlineStr">
        <is>
          <t>Comprobación</t>
        </is>
      </c>
      <c r="C18" s="5" t="inlineStr">
        <is>
          <t>Unidad</t>
        </is>
      </c>
      <c r="D18" s="5" t="inlineStr">
        <is>
          <t>Teoría / publicado</t>
        </is>
      </c>
      <c r="E18" s="5" t="inlineStr">
        <is>
          <t>Programa</t>
        </is>
      </c>
      <c r="F18" s="5" t="inlineStr">
        <is>
          <t>Diferencia (prog. − teoría)</t>
        </is>
      </c>
      <c r="G18" s="5" t="inlineStr">
        <is>
          <t>Error relativo</t>
        </is>
      </c>
      <c r="H18" s="5" t="inlineStr">
        <is>
          <t>Tol. relativa</t>
        </is>
      </c>
      <c r="I18" s="5" t="inlineStr">
        <is>
          <t>Tol. absoluta</t>
        </is>
      </c>
      <c r="J18" s="5" t="inlineStr">
        <is>
          <t>Estado</t>
        </is>
      </c>
      <c r="K18" s="5" t="inlineStr">
        <is>
          <t>Origen</t>
        </is>
      </c>
      <c r="L18" s="5" t="inlineStr">
        <is>
          <t>Expresión de la teoría (texto)</t>
        </is>
      </c>
      <c r="M18" s="5" t="inlineStr">
        <is>
          <t>Dónde se lee en el programa</t>
        </is>
      </c>
      <c r="N18" s="5" t="inlineStr">
        <is>
          <t>Nota</t>
        </is>
      </c>
    </row>
    <row r="19" ht="28" customHeight="1">
      <c r="A19" s="17" t="n">
        <v>1</v>
      </c>
      <c r="B19" s="8" t="inlineStr">
        <is>
          <t>Momento máximo Mu (publicado)</t>
        </is>
      </c>
      <c r="C19" s="17" t="inlineStr">
        <is>
          <t>kN·m</t>
        </is>
      </c>
      <c r="D19" s="26">
        <f>ABS(275)</f>
        <v/>
      </c>
      <c r="E19" s="25" t="n">
        <v>274.9999999532312</v>
      </c>
      <c r="F19" s="27">
        <f>E19-D19</f>
        <v/>
      </c>
      <c r="G19" s="28">
        <f>IF(ABS(D19)&gt;0.000000000001,F19/D19,"—")</f>
        <v/>
      </c>
      <c r="H19" s="29" t="n">
        <v>0.0001</v>
      </c>
      <c r="I19" s="30" t="n">
        <v>1e-06</v>
      </c>
      <c r="J19" s="31">
        <f>IF(ABS(F19)&lt;=MAX(H19*ABS(D19),I19),"OK","NO")</f>
        <v/>
      </c>
      <c r="K19" s="32" t="inlineStr">
        <is>
          <t>Publicado</t>
        </is>
      </c>
      <c r="L19" s="9" t="inlineStr">
        <is>
          <t>275</t>
        </is>
      </c>
      <c r="M19" s="9" t="inlineStr">
        <is>
          <t>Barra 1, en x = 0.5·L, momento flector Mz (eje fuerte) · combinación «C1: qu mayorada»</t>
        </is>
      </c>
      <c r="N19" s="9" t="inlineStr">
        <is>
          <t>Se comparan valores absolutos (la convención de signo es independiente del resultado).</t>
        </is>
      </c>
    </row>
    <row r="20" ht="28" customHeight="1">
      <c r="A20" s="17" t="n">
        <v>2</v>
      </c>
      <c r="B20" s="8" t="inlineStr">
        <is>
          <t>Corte máximo en el apoyo</t>
        </is>
      </c>
      <c r="C20" s="17" t="inlineStr">
        <is>
          <t>kN</t>
        </is>
      </c>
      <c r="D20" s="26">
        <f>ABS($D$12*$D$11/2000)</f>
        <v/>
      </c>
      <c r="E20" s="25" t="n">
        <v>110</v>
      </c>
      <c r="F20" s="27">
        <f>E20-D20</f>
        <v/>
      </c>
      <c r="G20" s="28">
        <f>IF(ABS(D20)&gt;0.000000000001,F20/D20,"—")</f>
        <v/>
      </c>
      <c r="H20" s="29" t="n">
        <v>0.0001</v>
      </c>
      <c r="I20" s="30" t="n">
        <v>1e-06</v>
      </c>
      <c r="J20" s="31">
        <f>IF(ABS(F20)&lt;=MAX(H20*ABS(D20),I20),"OK","NO")</f>
        <v/>
      </c>
      <c r="K20" s="17" t="inlineStr">
        <is>
          <t>Fórmula</t>
        </is>
      </c>
      <c r="L20" s="9" t="inlineStr">
        <is>
          <t>qu*L/2000</t>
        </is>
      </c>
      <c r="M20" s="9" t="inlineStr">
        <is>
          <t>Barra 1, en x = 0·L, corte Vy (en el plano del alma) · combinación «C1: qu mayorada»</t>
        </is>
      </c>
      <c r="N20" s="9" t="inlineStr">
        <is>
          <t>Se comparan valores absolutos (la convención de signo es independiente del resultado).</t>
        </is>
      </c>
    </row>
    <row r="21" ht="16" customHeight="1">
      <c r="A21" s="17" t="n">
        <v>3</v>
      </c>
      <c r="B21" s="8" t="inlineStr">
        <is>
          <t>Resistencia de diseño φb·Mp del perfil solo (publicada)</t>
        </is>
      </c>
      <c r="C21" s="17" t="inlineStr">
        <is>
          <t>kN·m</t>
        </is>
      </c>
      <c r="D21" s="26">
        <f>161.16</f>
        <v/>
      </c>
      <c r="E21" s="25" t="n">
        <v>162.4407459480001</v>
      </c>
      <c r="F21" s="27">
        <f>E21-D21</f>
        <v/>
      </c>
      <c r="G21" s="28">
        <f>IF(ABS(D21)&gt;0.000000000001,F21/D21,"—")</f>
        <v/>
      </c>
      <c r="H21" s="29" t="n">
        <v>0.015</v>
      </c>
      <c r="I21" s="30" t="n">
        <v>1e-06</v>
      </c>
      <c r="J21" s="31">
        <f>IF(ABS(F21)&lt;=MAX(H21*ABS(D21),I21),"OK","NO")</f>
        <v/>
      </c>
      <c r="K21" s="32" t="inlineStr">
        <is>
          <t>Publicado</t>
        </is>
      </c>
      <c r="L21" s="9" t="inlineStr">
        <is>
          <t>161.16</t>
        </is>
      </c>
      <c r="M21" s="9" t="inlineStr">
        <is>
          <t>Barra 1: φb·Mn flexión eje fuerte (verificación de perfiles)</t>
        </is>
      </c>
      <c r="N21" s="9" t="inlineStr">
        <is>
          <t>El programa calcula Zx = 768 cm³ con la geometría simplificada (tabla: 762 cm³): +0,8 %, del lado inseguro pero dentro de la tolerancia.</t>
        </is>
      </c>
    </row>
    <row r="22" ht="28" customHeight="1">
      <c r="A22" s="17" t="n">
        <v>4</v>
      </c>
      <c r="B22" s="8" t="inlineStr">
        <is>
          <t>Relación de uso Mu / φb·Mp (publicada 275/161,16)</t>
        </is>
      </c>
      <c r="C22" s="17" t="inlineStr"/>
      <c r="D22" s="26">
        <f>275/161.16</f>
        <v/>
      </c>
      <c r="E22" s="25" t="n">
        <v>1.692925000733888</v>
      </c>
      <c r="F22" s="27">
        <f>E22-D22</f>
        <v/>
      </c>
      <c r="G22" s="28">
        <f>IF(ABS(D22)&gt;0.000000000001,F22/D22,"—")</f>
        <v/>
      </c>
      <c r="H22" s="29" t="n">
        <v>0.015</v>
      </c>
      <c r="I22" s="30" t="n">
        <v>1e-06</v>
      </c>
      <c r="J22" s="31">
        <f>IF(ABS(F22)&lt;=MAX(H22*ABS(D22),I22),"OK","NO")</f>
        <v/>
      </c>
      <c r="K22" s="32" t="inlineStr">
        <is>
          <t>Publicado</t>
        </is>
      </c>
      <c r="L22" s="9" t="inlineStr">
        <is>
          <t>275/161.16</t>
        </is>
      </c>
      <c r="M22" s="9" t="inlineStr">
        <is>
          <t>Barra 1: relación de uso r máxima entre combinaciones de resistencia</t>
        </is>
      </c>
      <c r="N22" s="9" t="inlineStr">
        <is>
          <t>Mayor que 1: el perfil solo no alcanza, por eso el ejemplo agrega la platabanda.</t>
        </is>
      </c>
    </row>
    <row r="24">
      <c r="B24" s="4" t="inlineStr">
        <is>
          <t>Comprobaciones dentro de tolerancia</t>
        </is>
      </c>
      <c r="D24" s="4">
        <f>COUNTIF(J19:J22,"OK")</f>
        <v/>
      </c>
      <c r="E24" s="4">
        <f>ROWS(J19:J22)</f>
        <v/>
      </c>
      <c r="F24" s="4">
        <f>IF(D24=E24,"VERIFICA","DIFIERE")</f>
        <v/>
      </c>
    </row>
    <row r="25">
      <c r="B25" s="2" t="inlineStr">
        <is>
          <t>Azul = dato ingresado o valor que entregó el programa (pegado); negro = fórmula de Excel. El valor «Programa» es el resultado del motor de cálculo de la app para el mismo modelo.</t>
        </is>
      </c>
    </row>
  </sheetData>
  <mergeCells count="2">
    <mergeCell ref="A5:L5"/>
    <mergeCell ref="A4:L4"/>
  </mergeCells>
  <conditionalFormatting sqref="J19:J22">
    <cfRule type="cellIs" priority="1" operator="equal" dxfId="0">
      <formula>"OK"</formula>
    </cfRule>
    <cfRule type="cellIs" priority="2" operator="equal" dxfId="1">
      <formula>"NO"</formula>
    </cfRule>
  </conditionalFormatting>
  <hyperlinks>
    <hyperlink xmlns:r="http://schemas.openxmlformats.org/officeDocument/2006/relationships" ref="A3" r:id="rId1"/>
  </hyperlinks>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N37"/>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A08 · Columna W14×74, A36, KL = 20 ft: resistencia a compresión (apuntes MSU, ej. 3.2)</t>
        </is>
      </c>
    </row>
    <row r="2">
      <c r="A2" s="2" t="inlineStr">
        <is>
          <t>Resultado publicado.  Fuente: Michigan State Univ., CE 405 «Design of Steel Structures», cap. 3 «Compression members» (ejemplos 3.2 y 3.4, AISC-LRFD 1999)</t>
        </is>
      </c>
    </row>
    <row r="3">
      <c r="A3" s="21" t="inlineStr">
        <is>
          <t>https://www.egr.msu.edu/~harichan/classes/ce405/chap3.pdf</t>
        </is>
      </c>
    </row>
    <row r="4" ht="40.5" customHeight="1">
      <c r="A4" s="14" t="inlineStr">
        <is>
          <t>Enunciado. Columna W14×74 de acero A36 (Fy = 36 ksi, E = 29 000 ksi) con KL = 20 ft = 240 in en ambos ejes. El ejemplo obtiene KL/ry = 240/2,48 = 96,77 (gobierna el eje débil), λc = 1,085, Fcr = 21,99 ksi y φcPn = 408 kip con φc = 0,85, que es el factor del CIRSOC 301-2005. Se ingresa la sección con los datos de la tabla AISC (las inercias son coherentes con los radios de giro publicados) y se compara.</t>
        </is>
      </c>
    </row>
    <row r="5" ht="28" customHeight="1">
      <c r="A5" s="14" t="inlineStr">
        <is>
          <t>Perfil. W14×74 (tabla AISC): d = 14,17 in, bf = 10,07 in, tw = 0,450 in, tf = 0,785 in, A = 21,8 in², Ix = 796 in⁴, Iy = 134 in⁴, rx = 6,04 in, ry = 2,48 in, J = 3,87 in⁴. Unidades del programa: mm, N, MPa (1 in = 25,4 mm; 1 ksi = 6,894757 MPa; 1 kip = 4,4482216 kN).</t>
        </is>
      </c>
    </row>
    <row r="7">
      <c r="A7" s="22" t="inlineStr">
        <is>
          <t>DATOS DEL EJERCICIO</t>
        </is>
      </c>
      <c r="B7" s="22" t="n"/>
      <c r="C7" s="22" t="n"/>
      <c r="D7" s="22" t="n"/>
      <c r="E7" s="22" t="n"/>
      <c r="F7" s="22" t="n"/>
      <c r="G7" s="22" t="n"/>
      <c r="H7" s="22" t="n"/>
      <c r="I7" s="22" t="n"/>
      <c r="J7" s="22" t="n"/>
      <c r="K7" s="22" t="n"/>
      <c r="L7" s="22" t="n"/>
      <c r="M7" s="22" t="n"/>
      <c r="N7" s="22" t="n"/>
    </row>
    <row r="8">
      <c r="A8" s="5" t="inlineStr">
        <is>
          <t>#</t>
        </is>
      </c>
      <c r="B8" s="5" t="inlineStr">
        <is>
          <t>Dato</t>
        </is>
      </c>
      <c r="C8" s="5" t="inlineStr">
        <is>
          <t>Unidad</t>
        </is>
      </c>
      <c r="D8" s="5" t="inlineStr">
        <is>
          <t>Valor</t>
        </is>
      </c>
      <c r="K8" s="5" t="inlineStr">
        <is>
          <t>Símbolo</t>
        </is>
      </c>
      <c r="L8" s="5" t="inlineStr">
        <is>
          <t>Fórmula (texto)</t>
        </is>
      </c>
    </row>
    <row r="9">
      <c r="A9" s="17" t="n">
        <v>1</v>
      </c>
      <c r="B9" s="8" t="inlineStr">
        <is>
          <t>Módulo elástico</t>
        </is>
      </c>
      <c r="C9" s="17" t="inlineStr">
        <is>
          <t>ksi</t>
        </is>
      </c>
      <c r="D9" s="23" t="n">
        <v>29000</v>
      </c>
      <c r="K9" s="17" t="inlineStr">
        <is>
          <t>E_ksi</t>
        </is>
      </c>
      <c r="L9" s="24" t="inlineStr">
        <is>
          <t>dato ingresado</t>
        </is>
      </c>
    </row>
    <row r="10">
      <c r="A10" s="17" t="n">
        <v>2</v>
      </c>
      <c r="B10" s="8" t="inlineStr">
        <is>
          <t>Tensión de fluencia A36</t>
        </is>
      </c>
      <c r="C10" s="17" t="inlineStr">
        <is>
          <t>ksi</t>
        </is>
      </c>
      <c r="D10" s="25" t="n">
        <v>36</v>
      </c>
      <c r="K10" s="17" t="inlineStr">
        <is>
          <t>Fy_ksi</t>
        </is>
      </c>
      <c r="L10" s="24" t="inlineStr">
        <is>
          <t>dato ingresado</t>
        </is>
      </c>
    </row>
    <row r="11">
      <c r="A11" s="17" t="n">
        <v>3</v>
      </c>
      <c r="B11" s="8" t="inlineStr">
        <is>
          <t>Área</t>
        </is>
      </c>
      <c r="C11" s="17" t="inlineStr">
        <is>
          <t>in²</t>
        </is>
      </c>
      <c r="D11" s="25" t="n">
        <v>21.8</v>
      </c>
      <c r="K11" s="17" t="inlineStr">
        <is>
          <t>A_in2</t>
        </is>
      </c>
      <c r="L11" s="24" t="inlineStr">
        <is>
          <t>dato ingresado</t>
        </is>
      </c>
    </row>
    <row r="12">
      <c r="A12" s="17" t="n">
        <v>4</v>
      </c>
      <c r="B12" s="8" t="inlineStr">
        <is>
          <t>Radio de giro fuerte (tabla)</t>
        </is>
      </c>
      <c r="C12" s="17" t="inlineStr">
        <is>
          <t>in</t>
        </is>
      </c>
      <c r="D12" s="25" t="n">
        <v>6.04</v>
      </c>
      <c r="K12" s="17" t="inlineStr">
        <is>
          <t>rx</t>
        </is>
      </c>
      <c r="L12" s="24" t="inlineStr">
        <is>
          <t>dato ingresado</t>
        </is>
      </c>
    </row>
    <row r="13">
      <c r="A13" s="17" t="n">
        <v>5</v>
      </c>
      <c r="B13" s="8" t="inlineStr">
        <is>
          <t>Radio de giro débil (tabla)</t>
        </is>
      </c>
      <c r="C13" s="17" t="inlineStr">
        <is>
          <t>in</t>
        </is>
      </c>
      <c r="D13" s="25" t="n">
        <v>2.48</v>
      </c>
      <c r="K13" s="17" t="inlineStr">
        <is>
          <t>ry</t>
        </is>
      </c>
      <c r="L13" s="24" t="inlineStr">
        <is>
          <t>dato ingresado</t>
        </is>
      </c>
    </row>
    <row r="14">
      <c r="A14" s="17" t="n">
        <v>6</v>
      </c>
      <c r="B14" s="8" t="inlineStr">
        <is>
          <t>Longitud efectiva en ambos ejes (publicada)</t>
        </is>
      </c>
      <c r="C14" s="17" t="inlineStr">
        <is>
          <t>in</t>
        </is>
      </c>
      <c r="D14" s="25" t="n">
        <v>240</v>
      </c>
      <c r="K14" s="17" t="inlineStr">
        <is>
          <t>KL</t>
        </is>
      </c>
      <c r="L14" s="24" t="inlineStr">
        <is>
          <t>dato ingresado</t>
        </is>
      </c>
    </row>
    <row r="15">
      <c r="A15" s="17" t="n">
        <v>7</v>
      </c>
      <c r="B15" s="8" t="inlineStr">
        <is>
          <t>Carga axil mayorada adoptada para la relación de uso</t>
        </is>
      </c>
      <c r="C15" s="17" t="inlineStr">
        <is>
          <t>kip</t>
        </is>
      </c>
      <c r="D15" s="25" t="n">
        <v>300</v>
      </c>
      <c r="K15" s="17" t="inlineStr">
        <is>
          <t>Pu_kip</t>
        </is>
      </c>
      <c r="L15" s="24" t="inlineStr">
        <is>
          <t>dato ingresado</t>
        </is>
      </c>
    </row>
    <row r="16">
      <c r="A16" s="17" t="n">
        <v>8</v>
      </c>
      <c r="B16" s="8" t="inlineStr">
        <is>
          <t>Módulo elástico en MPa</t>
        </is>
      </c>
      <c r="C16" s="17" t="inlineStr">
        <is>
          <t>MPa</t>
        </is>
      </c>
      <c r="D16" s="38">
        <f>$D$9*6.894757</f>
        <v/>
      </c>
      <c r="K16" s="17" t="inlineStr">
        <is>
          <t>E</t>
        </is>
      </c>
      <c r="L16" s="24" t="inlineStr">
        <is>
          <t>valor = E_ksi*6.894757</t>
        </is>
      </c>
    </row>
    <row r="17">
      <c r="A17" s="17" t="n">
        <v>9</v>
      </c>
      <c r="B17" s="8" t="inlineStr">
        <is>
          <t>Fluencia en MPa</t>
        </is>
      </c>
      <c r="C17" s="17" t="inlineStr">
        <is>
          <t>MPa</t>
        </is>
      </c>
      <c r="D17" s="26">
        <f>$D$10*6.894757</f>
        <v/>
      </c>
      <c r="K17" s="17" t="inlineStr">
        <is>
          <t>Fy</t>
        </is>
      </c>
      <c r="L17" s="24" t="inlineStr">
        <is>
          <t>valor = Fy_ksi*6.894757</t>
        </is>
      </c>
    </row>
    <row r="18">
      <c r="A18" s="17" t="n">
        <v>10</v>
      </c>
      <c r="B18" s="8" t="inlineStr">
        <is>
          <t>Módulo de corte (no interviene en el resultado)</t>
        </is>
      </c>
      <c r="C18" s="17" t="inlineStr">
        <is>
          <t>MPa</t>
        </is>
      </c>
      <c r="D18" s="38">
        <f>$D$16/2.6</f>
        <v/>
      </c>
      <c r="K18" s="17" t="inlineStr">
        <is>
          <t>G</t>
        </is>
      </c>
      <c r="L18" s="24" t="inlineStr">
        <is>
          <t>valor = E/2.6</t>
        </is>
      </c>
    </row>
    <row r="19">
      <c r="A19" s="17" t="n">
        <v>11</v>
      </c>
      <c r="B19" s="8" t="inlineStr">
        <is>
          <t>Longitud efectiva en mm</t>
        </is>
      </c>
      <c r="C19" s="17" t="inlineStr">
        <is>
          <t>mm</t>
        </is>
      </c>
      <c r="D19" s="38">
        <f>$D$14*25.4</f>
        <v/>
      </c>
      <c r="K19" s="17" t="inlineStr">
        <is>
          <t>KLmm</t>
        </is>
      </c>
      <c r="L19" s="24" t="inlineStr">
        <is>
          <t>valor = KL*25.4</t>
        </is>
      </c>
    </row>
    <row r="20">
      <c r="A20" s="17" t="n">
        <v>12</v>
      </c>
      <c r="B20" s="8" t="inlineStr">
        <is>
          <t>Carga axil mayorada</t>
        </is>
      </c>
      <c r="C20" s="17" t="inlineStr">
        <is>
          <t>kN</t>
        </is>
      </c>
      <c r="D20" s="38">
        <f>$D$15*4.4482216</f>
        <v/>
      </c>
      <c r="K20" s="17" t="inlineStr">
        <is>
          <t>Pu</t>
        </is>
      </c>
      <c r="L20" s="24" t="inlineStr">
        <is>
          <t>valor = Pu_kip*4.4482216</t>
        </is>
      </c>
    </row>
    <row r="21">
      <c r="A21" s="17" t="n">
        <v>13</v>
      </c>
      <c r="B21" s="8" t="inlineStr">
        <is>
          <t>λc del eje débil (publicado: 1,085)</t>
        </is>
      </c>
      <c r="C21" s="17" t="inlineStr"/>
      <c r="D21" s="26">
        <f>$D$14/$D$13/PI()*SQRT($D$10/$D$9)</f>
        <v/>
      </c>
      <c r="K21" s="17" t="inlineStr">
        <is>
          <t>lamy</t>
        </is>
      </c>
      <c r="L21" s="24" t="inlineStr">
        <is>
          <t>valor = KL/ry/PI()*SQRT(Fy_ksi/E_ksi)</t>
        </is>
      </c>
    </row>
    <row r="22">
      <c r="A22" s="17" t="n">
        <v>14</v>
      </c>
      <c r="B22" s="8" t="inlineStr">
        <is>
          <t>λc del eje fuerte</t>
        </is>
      </c>
      <c r="C22" s="17" t="inlineStr"/>
      <c r="D22" s="36">
        <f>$D$14/$D$12/PI()*SQRT($D$10/$D$9)</f>
        <v/>
      </c>
      <c r="K22" s="17" t="inlineStr">
        <is>
          <t>lamx</t>
        </is>
      </c>
      <c r="L22" s="24" t="inlineStr">
        <is>
          <t>valor = KL/rx/PI()*SQRT(Fy_ksi/E_ksi)</t>
        </is>
      </c>
    </row>
    <row r="23">
      <c r="A23" s="17" t="n">
        <v>15</v>
      </c>
      <c r="B23" s="8" t="inlineStr">
        <is>
          <t>λc gobernante</t>
        </is>
      </c>
      <c r="C23" s="17" t="inlineStr"/>
      <c r="D23" s="26">
        <f>MAX($D$22,$D$21)</f>
        <v/>
      </c>
      <c r="K23" s="17" t="inlineStr">
        <is>
          <t>lamc</t>
        </is>
      </c>
      <c r="L23" s="24" t="inlineStr">
        <is>
          <t>valor = MAX(lamx,lamy)</t>
        </is>
      </c>
    </row>
    <row r="24">
      <c r="A24" s="17" t="n">
        <v>16</v>
      </c>
      <c r="B24" s="8" t="inlineStr">
        <is>
          <t>Tensión crítica (publicada: 21,99 ksi)</t>
        </is>
      </c>
      <c r="C24" s="17" t="inlineStr">
        <is>
          <t>ksi</t>
        </is>
      </c>
      <c r="D24" s="26">
        <f>IF($D$23&lt;=1.5,0.658^($D$23^2),0.877/$D$23^2)*$D$10</f>
        <v/>
      </c>
      <c r="K24" s="17" t="inlineStr">
        <is>
          <t>Fcr</t>
        </is>
      </c>
      <c r="L24" s="24" t="inlineStr">
        <is>
          <t>valor = IF(lamc&lt;=1.5,0.658^(lamc^2),0.877/lamc^2)*Fy_ksi</t>
        </is>
      </c>
    </row>
    <row r="25">
      <c r="A25" s="17" t="n">
        <v>17</v>
      </c>
      <c r="B25" s="8" t="inlineStr">
        <is>
          <t>φc·Pn recalculado con la fórmula del libro</t>
        </is>
      </c>
      <c r="C25" s="17" t="inlineStr">
        <is>
          <t>kip</t>
        </is>
      </c>
      <c r="D25" s="26">
        <f>0.85*$D$11*$D$24</f>
        <v/>
      </c>
      <c r="K25" s="17" t="inlineStr">
        <is>
          <t>phiPn</t>
        </is>
      </c>
      <c r="L25" s="24" t="inlineStr">
        <is>
          <t>valor = 0.85*A_in2*Fcr</t>
        </is>
      </c>
    </row>
    <row r="26">
      <c r="A26" s="17" t="n">
        <v>18</v>
      </c>
      <c r="B26" s="8" t="inlineStr">
        <is>
          <t>φc·Pn en kN</t>
        </is>
      </c>
      <c r="C26" s="17" t="inlineStr">
        <is>
          <t>kN</t>
        </is>
      </c>
      <c r="D26" s="38">
        <f>$D$25*4.4482216</f>
        <v/>
      </c>
      <c r="K26" s="17" t="inlineStr">
        <is>
          <t>phiPnkN</t>
        </is>
      </c>
      <c r="L26" s="24" t="inlineStr">
        <is>
          <t>valor = phiPn*4.4482216</t>
        </is>
      </c>
    </row>
    <row r="28">
      <c r="A28" s="22" t="inlineStr">
        <is>
          <t>COMPARACIÓN: TEORÍA / DATO PUBLICADO  vs  PROGRAMA (Atlas Estructuras 3D)</t>
        </is>
      </c>
      <c r="B28" s="22" t="n"/>
      <c r="C28" s="22" t="n"/>
      <c r="D28" s="22" t="n"/>
      <c r="E28" s="22" t="n"/>
      <c r="F28" s="22" t="n"/>
      <c r="G28" s="22" t="n"/>
      <c r="H28" s="22" t="n"/>
      <c r="I28" s="22" t="n"/>
      <c r="J28" s="22" t="n"/>
      <c r="K28" s="22" t="n"/>
      <c r="L28" s="22" t="n"/>
      <c r="M28" s="22" t="n"/>
      <c r="N28" s="22" t="n"/>
    </row>
    <row r="29" ht="30" customHeight="1">
      <c r="A29" s="5" t="inlineStr">
        <is>
          <t>#</t>
        </is>
      </c>
      <c r="B29" s="5" t="inlineStr">
        <is>
          <t>Comprobación</t>
        </is>
      </c>
      <c r="C29" s="5" t="inlineStr">
        <is>
          <t>Unidad</t>
        </is>
      </c>
      <c r="D29" s="5" t="inlineStr">
        <is>
          <t>Teoría / publicado</t>
        </is>
      </c>
      <c r="E29" s="5" t="inlineStr">
        <is>
          <t>Programa</t>
        </is>
      </c>
      <c r="F29" s="5" t="inlineStr">
        <is>
          <t>Diferencia (prog. − teoría)</t>
        </is>
      </c>
      <c r="G29" s="5" t="inlineStr">
        <is>
          <t>Error relativo</t>
        </is>
      </c>
      <c r="H29" s="5" t="inlineStr">
        <is>
          <t>Tol. relativa</t>
        </is>
      </c>
      <c r="I29" s="5" t="inlineStr">
        <is>
          <t>Tol. absoluta</t>
        </is>
      </c>
      <c r="J29" s="5" t="inlineStr">
        <is>
          <t>Estado</t>
        </is>
      </c>
      <c r="K29" s="5" t="inlineStr">
        <is>
          <t>Origen</t>
        </is>
      </c>
      <c r="L29" s="5" t="inlineStr">
        <is>
          <t>Expresión de la teoría (texto)</t>
        </is>
      </c>
      <c r="M29" s="5" t="inlineStr">
        <is>
          <t>Dónde se lee en el programa</t>
        </is>
      </c>
      <c r="N29" s="5" t="inlineStr">
        <is>
          <t>Nota</t>
        </is>
      </c>
    </row>
    <row r="30" ht="16" customHeight="1">
      <c r="A30" s="17" t="n">
        <v>1</v>
      </c>
      <c r="B30" s="8" t="inlineStr">
        <is>
          <t>Esbeltez KL/r gobernante (publicada 96,77)</t>
        </is>
      </c>
      <c r="C30" s="17" t="inlineStr"/>
      <c r="D30" s="26">
        <f>96.77</f>
        <v/>
      </c>
      <c r="E30" s="25" t="n">
        <v>96.80261796561824</v>
      </c>
      <c r="F30" s="27">
        <f>E30-D30</f>
        <v/>
      </c>
      <c r="G30" s="28">
        <f>IF(ABS(D30)&gt;0.000000000001,F30/D30,"—")</f>
        <v/>
      </c>
      <c r="H30" s="29" t="n">
        <v>0.001</v>
      </c>
      <c r="I30" s="30" t="n">
        <v>1e-06</v>
      </c>
      <c r="J30" s="31">
        <f>IF(ABS(F30)&lt;=MAX(H30*ABS(D30),I30),"OK","NO")</f>
        <v/>
      </c>
      <c r="K30" s="32" t="inlineStr">
        <is>
          <t>Publicado</t>
        </is>
      </c>
      <c r="L30" s="9" t="inlineStr">
        <is>
          <t>96.77</t>
        </is>
      </c>
      <c r="M30" s="9" t="inlineStr">
        <is>
          <t>Barra 1: esbeltez KL/r gobernante (verificación de perfiles)</t>
        </is>
      </c>
      <c r="N30" s="9" t="inlineStr"/>
    </row>
    <row r="31" ht="28" customHeight="1">
      <c r="A31" s="17" t="n">
        <v>2</v>
      </c>
      <c r="B31" s="8" t="inlineStr">
        <is>
          <t>Resistencia de diseño a compresión φc·Pn (publicada 408 kip)</t>
        </is>
      </c>
      <c r="C31" s="17" t="inlineStr">
        <is>
          <t>kN</t>
        </is>
      </c>
      <c r="D31" s="38">
        <f>408*4.4482216</f>
        <v/>
      </c>
      <c r="E31" s="23" t="n">
        <v>1811.837218869334</v>
      </c>
      <c r="F31" s="27">
        <f>E31-D31</f>
        <v/>
      </c>
      <c r="G31" s="28">
        <f>IF(ABS(D31)&gt;0.000000000001,F31/D31,"—")</f>
        <v/>
      </c>
      <c r="H31" s="29" t="n">
        <v>0.005</v>
      </c>
      <c r="I31" s="30" t="n">
        <v>1e-06</v>
      </c>
      <c r="J31" s="31">
        <f>IF(ABS(F31)&lt;=MAX(H31*ABS(D31),I31),"OK","NO")</f>
        <v/>
      </c>
      <c r="K31" s="32" t="inlineStr">
        <is>
          <t>Publicado</t>
        </is>
      </c>
      <c r="L31" s="9" t="inlineStr">
        <is>
          <t>408*4.4482216</t>
        </is>
      </c>
      <c r="M31" s="9" t="inlineStr">
        <is>
          <t>Barra 1: φc·Pn compresión (verificación de perfiles)</t>
        </is>
      </c>
      <c r="N31" s="9" t="inlineStr">
        <is>
          <t>El libro redondea (21,8 × 21,99 × 0,85 = 407,5 kip).</t>
        </is>
      </c>
    </row>
    <row r="32" ht="16" customHeight="1">
      <c r="A32" s="17" t="n">
        <v>3</v>
      </c>
      <c r="B32" s="8" t="inlineStr">
        <is>
          <t>φc·Pn recalculado con la fórmula del libro</t>
        </is>
      </c>
      <c r="C32" s="17" t="inlineStr">
        <is>
          <t>kN</t>
        </is>
      </c>
      <c r="D32" s="38">
        <f>$D$26</f>
        <v/>
      </c>
      <c r="E32" s="23" t="n">
        <v>1811.837218869334</v>
      </c>
      <c r="F32" s="27">
        <f>E32-D32</f>
        <v/>
      </c>
      <c r="G32" s="28">
        <f>IF(ABS(D32)&gt;0.000000000001,F32/D32,"—")</f>
        <v/>
      </c>
      <c r="H32" s="29" t="n">
        <v>0.002</v>
      </c>
      <c r="I32" s="30" t="n">
        <v>1e-06</v>
      </c>
      <c r="J32" s="31">
        <f>IF(ABS(F32)&lt;=MAX(H32*ABS(D32),I32),"OK","NO")</f>
        <v/>
      </c>
      <c r="K32" s="17" t="inlineStr">
        <is>
          <t>Fórmula</t>
        </is>
      </c>
      <c r="L32" s="9" t="inlineStr">
        <is>
          <t>phiPnkN</t>
        </is>
      </c>
      <c r="M32" s="9" t="inlineStr">
        <is>
          <t>Barra 1: φc·Pn compresión (verificación de perfiles)</t>
        </is>
      </c>
      <c r="N32" s="9" t="inlineStr"/>
    </row>
    <row r="33" ht="28" customHeight="1">
      <c r="A33" s="17" t="n">
        <v>4</v>
      </c>
      <c r="B33" s="8" t="inlineStr">
        <is>
          <t>Esfuerzo axil en la columna (compresión −)</t>
        </is>
      </c>
      <c r="C33" s="17" t="inlineStr">
        <is>
          <t>kN</t>
        </is>
      </c>
      <c r="D33" s="38">
        <f>-$D$20</f>
        <v/>
      </c>
      <c r="E33" s="23" t="n">
        <v>-1334.46648</v>
      </c>
      <c r="F33" s="27">
        <f>E33-D33</f>
        <v/>
      </c>
      <c r="G33" s="28">
        <f>IF(ABS(D33)&gt;0.000000000001,F33/D33,"—")</f>
        <v/>
      </c>
      <c r="H33" s="29" t="n">
        <v>0.001</v>
      </c>
      <c r="I33" s="30" t="n">
        <v>1e-06</v>
      </c>
      <c r="J33" s="31">
        <f>IF(ABS(F33)&lt;=MAX(H33*ABS(D33),I33),"OK","NO")</f>
        <v/>
      </c>
      <c r="K33" s="17" t="inlineStr">
        <is>
          <t>Fórmula</t>
        </is>
      </c>
      <c r="L33" s="9" t="inlineStr">
        <is>
          <t>-Pu</t>
        </is>
      </c>
      <c r="M33" s="9" t="inlineStr">
        <is>
          <t>Barra 1, en x = 0.5·L, esfuerzo axil N (tracción +) · combinación «C1: Pu mayorada»</t>
        </is>
      </c>
      <c r="N33" s="9" t="inlineStr"/>
    </row>
    <row r="34" ht="28" customHeight="1">
      <c r="A34" s="17" t="n">
        <v>5</v>
      </c>
      <c r="B34" s="8" t="inlineStr">
        <is>
          <t>Relación de uso Pu / φc·Pn</t>
        </is>
      </c>
      <c r="C34" s="17" t="inlineStr"/>
      <c r="D34" s="36">
        <f>$D$20/$D$26</f>
        <v/>
      </c>
      <c r="E34" s="37" t="n">
        <v>0.7365266957220176</v>
      </c>
      <c r="F34" s="27">
        <f>E34-D34</f>
        <v/>
      </c>
      <c r="G34" s="28">
        <f>IF(ABS(D34)&gt;0.000000000001,F34/D34,"—")</f>
        <v/>
      </c>
      <c r="H34" s="29" t="n">
        <v>0.002</v>
      </c>
      <c r="I34" s="30" t="n">
        <v>1e-06</v>
      </c>
      <c r="J34" s="31">
        <f>IF(ABS(F34)&lt;=MAX(H34*ABS(D34),I34),"OK","NO")</f>
        <v/>
      </c>
      <c r="K34" s="17" t="inlineStr">
        <is>
          <t>Fórmula</t>
        </is>
      </c>
      <c r="L34" s="9" t="inlineStr">
        <is>
          <t>Pu/phiPnkN</t>
        </is>
      </c>
      <c r="M34" s="9" t="inlineStr">
        <is>
          <t>Barra 1: relación de uso r máxima entre combinaciones de resistencia</t>
        </is>
      </c>
      <c r="N34" s="9" t="inlineStr"/>
    </row>
    <row r="36">
      <c r="B36" s="4" t="inlineStr">
        <is>
          <t>Comprobaciones dentro de tolerancia</t>
        </is>
      </c>
      <c r="D36" s="4">
        <f>COUNTIF(J30:J34,"OK")</f>
        <v/>
      </c>
      <c r="E36" s="4">
        <f>ROWS(J30:J34)</f>
        <v/>
      </c>
      <c r="F36" s="4">
        <f>IF(D36=E36,"VERIFICA","DIFIERE")</f>
        <v/>
      </c>
    </row>
    <row r="37">
      <c r="B37" s="2" t="inlineStr">
        <is>
          <t>Azul = dato ingresado o valor que entregó el programa (pegado); negro = fórmula de Excel. El valor «Programa» es el resultado del motor de cálculo de la app para el mismo modelo.</t>
        </is>
      </c>
    </row>
  </sheetData>
  <mergeCells count="2">
    <mergeCell ref="A5:L5"/>
    <mergeCell ref="A4:L4"/>
  </mergeCells>
  <conditionalFormatting sqref="J30:J34">
    <cfRule type="cellIs" priority="1" operator="equal" dxfId="0">
      <formula>"OK"</formula>
    </cfRule>
    <cfRule type="cellIs" priority="2" operator="equal" dxfId="1">
      <formula>"NO"</formula>
    </cfRule>
  </conditionalFormatting>
  <hyperlinks>
    <hyperlink xmlns:r="http://schemas.openxmlformats.org/officeDocument/2006/relationships" ref="A3" r:id="rId1"/>
  </hyperlinks>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N38"/>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A09 · Columna W14×132, Fy = 50 ksi, longitudes distintas por eje (apuntes MSU, ej. 3.4)</t>
        </is>
      </c>
    </row>
    <row r="2">
      <c r="A2" s="2" t="inlineStr">
        <is>
          <t>Resultado publicado.  Fuente: Michigan State Univ., CE 405 «Design of Steel Structures», cap. 3 «Compression members» (ejemplos 3.2 y 3.4, AISC-LRFD 1999)</t>
        </is>
      </c>
    </row>
    <row r="3">
      <c r="A3" s="21" t="inlineStr">
        <is>
          <t>https://www.egr.msu.edu/~harichan/classes/ce405/chap3.pdf</t>
        </is>
      </c>
    </row>
    <row r="4" ht="30" customHeight="1">
      <c r="A4" s="14" t="inlineStr">
        <is>
          <t>Enunciado. Columna W14×132 de acero A992 (Fy = 50 ksi) con KxLx = 30 ft y KyLy = 15 ft (arriostrada a media altura en el eje débil). El ejemplo obtiene KxLx/rx = 57,32 y KyLy/ry = 47,87, gobierna el eje fuerte y la tabla da φcPn ≈ 1 300 kip. Comprueba que el programa asigne cada longitud efectiva al eje correcto.</t>
        </is>
      </c>
    </row>
    <row r="5" ht="28" customHeight="1">
      <c r="A5" s="14" t="inlineStr">
        <is>
          <t>Perfil. W14×132 (tabla AISC): d = 14,66 in, bf = 14,725 in, tw = 0,645 in, tf = 1,030 in, A = 38,8 in², Ix = 1 530 in⁴, Iy = 548 in⁴, rx = 6,28 in, ry = 3,76 in, J = 12,3 in⁴.</t>
        </is>
      </c>
    </row>
    <row r="7">
      <c r="A7" s="22" t="inlineStr">
        <is>
          <t>DATOS DEL EJERCICIO</t>
        </is>
      </c>
      <c r="B7" s="22" t="n"/>
      <c r="C7" s="22" t="n"/>
      <c r="D7" s="22" t="n"/>
      <c r="E7" s="22" t="n"/>
      <c r="F7" s="22" t="n"/>
      <c r="G7" s="22" t="n"/>
      <c r="H7" s="22" t="n"/>
      <c r="I7" s="22" t="n"/>
      <c r="J7" s="22" t="n"/>
      <c r="K7" s="22" t="n"/>
      <c r="L7" s="22" t="n"/>
      <c r="M7" s="22" t="n"/>
      <c r="N7" s="22" t="n"/>
    </row>
    <row r="8">
      <c r="A8" s="5" t="inlineStr">
        <is>
          <t>#</t>
        </is>
      </c>
      <c r="B8" s="5" t="inlineStr">
        <is>
          <t>Dato</t>
        </is>
      </c>
      <c r="C8" s="5" t="inlineStr">
        <is>
          <t>Unidad</t>
        </is>
      </c>
      <c r="D8" s="5" t="inlineStr">
        <is>
          <t>Valor</t>
        </is>
      </c>
      <c r="K8" s="5" t="inlineStr">
        <is>
          <t>Símbolo</t>
        </is>
      </c>
      <c r="L8" s="5" t="inlineStr">
        <is>
          <t>Fórmula (texto)</t>
        </is>
      </c>
    </row>
    <row r="9">
      <c r="A9" s="17" t="n">
        <v>1</v>
      </c>
      <c r="B9" s="8" t="inlineStr">
        <is>
          <t>Módulo elástico</t>
        </is>
      </c>
      <c r="C9" s="17" t="inlineStr">
        <is>
          <t>ksi</t>
        </is>
      </c>
      <c r="D9" s="23" t="n">
        <v>29000</v>
      </c>
      <c r="K9" s="17" t="inlineStr">
        <is>
          <t>E_ksi</t>
        </is>
      </c>
      <c r="L9" s="24" t="inlineStr">
        <is>
          <t>dato ingresado</t>
        </is>
      </c>
    </row>
    <row r="10">
      <c r="A10" s="17" t="n">
        <v>2</v>
      </c>
      <c r="B10" s="8" t="inlineStr">
        <is>
          <t>Tensión de fluencia</t>
        </is>
      </c>
      <c r="C10" s="17" t="inlineStr">
        <is>
          <t>ksi</t>
        </is>
      </c>
      <c r="D10" s="25" t="n">
        <v>50</v>
      </c>
      <c r="K10" s="17" t="inlineStr">
        <is>
          <t>Fy_ksi</t>
        </is>
      </c>
      <c r="L10" s="24" t="inlineStr">
        <is>
          <t>dato ingresado</t>
        </is>
      </c>
    </row>
    <row r="11">
      <c r="A11" s="17" t="n">
        <v>3</v>
      </c>
      <c r="B11" s="8" t="inlineStr">
        <is>
          <t>Área</t>
        </is>
      </c>
      <c r="C11" s="17" t="inlineStr">
        <is>
          <t>in²</t>
        </is>
      </c>
      <c r="D11" s="25" t="n">
        <v>38.8</v>
      </c>
      <c r="K11" s="17" t="inlineStr">
        <is>
          <t>A_in2</t>
        </is>
      </c>
      <c r="L11" s="24" t="inlineStr">
        <is>
          <t>dato ingresado</t>
        </is>
      </c>
    </row>
    <row r="12">
      <c r="A12" s="17" t="n">
        <v>4</v>
      </c>
      <c r="B12" s="8" t="inlineStr">
        <is>
          <t>Radio de giro fuerte (tabla)</t>
        </is>
      </c>
      <c r="C12" s="17" t="inlineStr">
        <is>
          <t>in</t>
        </is>
      </c>
      <c r="D12" s="25" t="n">
        <v>6.28</v>
      </c>
      <c r="K12" s="17" t="inlineStr">
        <is>
          <t>rx</t>
        </is>
      </c>
      <c r="L12" s="24" t="inlineStr">
        <is>
          <t>dato ingresado</t>
        </is>
      </c>
    </row>
    <row r="13">
      <c r="A13" s="17" t="n">
        <v>5</v>
      </c>
      <c r="B13" s="8" t="inlineStr">
        <is>
          <t>Radio de giro débil (tabla)</t>
        </is>
      </c>
      <c r="C13" s="17" t="inlineStr">
        <is>
          <t>in</t>
        </is>
      </c>
      <c r="D13" s="25" t="n">
        <v>3.76</v>
      </c>
      <c r="K13" s="17" t="inlineStr">
        <is>
          <t>ry</t>
        </is>
      </c>
      <c r="L13" s="24" t="inlineStr">
        <is>
          <t>dato ingresado</t>
        </is>
      </c>
    </row>
    <row r="14">
      <c r="A14" s="17" t="n">
        <v>6</v>
      </c>
      <c r="B14" s="8" t="inlineStr">
        <is>
          <t>Longitud efectiva, eje fuerte (30 ft)</t>
        </is>
      </c>
      <c r="C14" s="17" t="inlineStr">
        <is>
          <t>in</t>
        </is>
      </c>
      <c r="D14" s="25" t="n">
        <v>360</v>
      </c>
      <c r="K14" s="17" t="inlineStr">
        <is>
          <t>KxLx</t>
        </is>
      </c>
      <c r="L14" s="24" t="inlineStr">
        <is>
          <t>dato ingresado</t>
        </is>
      </c>
    </row>
    <row r="15">
      <c r="A15" s="17" t="n">
        <v>7</v>
      </c>
      <c r="B15" s="8" t="inlineStr">
        <is>
          <t>Longitud efectiva, eje débil (15 ft)</t>
        </is>
      </c>
      <c r="C15" s="17" t="inlineStr">
        <is>
          <t>in</t>
        </is>
      </c>
      <c r="D15" s="25" t="n">
        <v>180</v>
      </c>
      <c r="K15" s="17" t="inlineStr">
        <is>
          <t>KyLy</t>
        </is>
      </c>
      <c r="L15" s="24" t="inlineStr">
        <is>
          <t>dato ingresado</t>
        </is>
      </c>
    </row>
    <row r="16">
      <c r="A16" s="17" t="n">
        <v>8</v>
      </c>
      <c r="B16" s="8" t="inlineStr">
        <is>
          <t>Carga axil mayorada adoptada para la relación de uso</t>
        </is>
      </c>
      <c r="C16" s="17" t="inlineStr">
        <is>
          <t>kip</t>
        </is>
      </c>
      <c r="D16" s="23" t="n">
        <v>1000</v>
      </c>
      <c r="K16" s="17" t="inlineStr">
        <is>
          <t>Pu_kip</t>
        </is>
      </c>
      <c r="L16" s="24" t="inlineStr">
        <is>
          <t>dato ingresado</t>
        </is>
      </c>
    </row>
    <row r="17">
      <c r="A17" s="17" t="n">
        <v>9</v>
      </c>
      <c r="B17" s="8" t="inlineStr">
        <is>
          <t>Módulo elástico en MPa</t>
        </is>
      </c>
      <c r="C17" s="17" t="inlineStr">
        <is>
          <t>MPa</t>
        </is>
      </c>
      <c r="D17" s="38">
        <f>$D$9*6.894757</f>
        <v/>
      </c>
      <c r="K17" s="17" t="inlineStr">
        <is>
          <t>E</t>
        </is>
      </c>
      <c r="L17" s="24" t="inlineStr">
        <is>
          <t>valor = E_ksi*6.894757</t>
        </is>
      </c>
    </row>
    <row r="18">
      <c r="A18" s="17" t="n">
        <v>10</v>
      </c>
      <c r="B18" s="8" t="inlineStr">
        <is>
          <t>Fluencia en MPa</t>
        </is>
      </c>
      <c r="C18" s="17" t="inlineStr">
        <is>
          <t>MPa</t>
        </is>
      </c>
      <c r="D18" s="26">
        <f>$D$10*6.894757</f>
        <v/>
      </c>
      <c r="K18" s="17" t="inlineStr">
        <is>
          <t>Fy</t>
        </is>
      </c>
      <c r="L18" s="24" t="inlineStr">
        <is>
          <t>valor = Fy_ksi*6.894757</t>
        </is>
      </c>
    </row>
    <row r="19">
      <c r="A19" s="17" t="n">
        <v>11</v>
      </c>
      <c r="B19" s="8" t="inlineStr">
        <is>
          <t>Módulo de corte (no interviene en el resultado)</t>
        </is>
      </c>
      <c r="C19" s="17" t="inlineStr">
        <is>
          <t>MPa</t>
        </is>
      </c>
      <c r="D19" s="38">
        <f>$D$17/2.6</f>
        <v/>
      </c>
      <c r="K19" s="17" t="inlineStr">
        <is>
          <t>G</t>
        </is>
      </c>
      <c r="L19" s="24" t="inlineStr">
        <is>
          <t>valor = E/2.6</t>
        </is>
      </c>
    </row>
    <row r="20">
      <c r="A20" s="17" t="n">
        <v>12</v>
      </c>
      <c r="B20" s="8" t="inlineStr">
        <is>
          <t>Longitud efectiva fuerte en mm</t>
        </is>
      </c>
      <c r="C20" s="17" t="inlineStr">
        <is>
          <t>mm</t>
        </is>
      </c>
      <c r="D20" s="38">
        <f>$D$14*25.4</f>
        <v/>
      </c>
      <c r="K20" s="17" t="inlineStr">
        <is>
          <t>Kxmm</t>
        </is>
      </c>
      <c r="L20" s="24" t="inlineStr">
        <is>
          <t>valor = KxLx*25.4</t>
        </is>
      </c>
    </row>
    <row r="21">
      <c r="A21" s="17" t="n">
        <v>13</v>
      </c>
      <c r="B21" s="8" t="inlineStr">
        <is>
          <t>Longitud efectiva débil en mm</t>
        </is>
      </c>
      <c r="C21" s="17" t="inlineStr">
        <is>
          <t>mm</t>
        </is>
      </c>
      <c r="D21" s="38">
        <f>$D$15*25.4</f>
        <v/>
      </c>
      <c r="K21" s="17" t="inlineStr">
        <is>
          <t>Kymm</t>
        </is>
      </c>
      <c r="L21" s="24" t="inlineStr">
        <is>
          <t>valor = KyLy*25.4</t>
        </is>
      </c>
    </row>
    <row r="22">
      <c r="A22" s="17" t="n">
        <v>14</v>
      </c>
      <c r="B22" s="8" t="inlineStr">
        <is>
          <t>Carga axil mayorada</t>
        </is>
      </c>
      <c r="C22" s="17" t="inlineStr">
        <is>
          <t>kN</t>
        </is>
      </c>
      <c r="D22" s="38">
        <f>$D$16*4.4482216</f>
        <v/>
      </c>
      <c r="K22" s="17" t="inlineStr">
        <is>
          <t>Pu</t>
        </is>
      </c>
      <c r="L22" s="24" t="inlineStr">
        <is>
          <t>valor = Pu_kip*4.4482216</t>
        </is>
      </c>
    </row>
    <row r="23">
      <c r="A23" s="17" t="n">
        <v>15</v>
      </c>
      <c r="B23" s="8" t="inlineStr">
        <is>
          <t>KL/r eje fuerte (publicado: 57,32)</t>
        </is>
      </c>
      <c r="C23" s="17" t="inlineStr"/>
      <c r="D23" s="26">
        <f>$D$14/$D$12</f>
        <v/>
      </c>
      <c r="K23" s="17" t="inlineStr">
        <is>
          <t>lamx</t>
        </is>
      </c>
      <c r="L23" s="24" t="inlineStr">
        <is>
          <t>valor = KxLx/rx</t>
        </is>
      </c>
    </row>
    <row r="24">
      <c r="A24" s="17" t="n">
        <v>16</v>
      </c>
      <c r="B24" s="8" t="inlineStr">
        <is>
          <t>KL/r eje débil (publicado: 47,87)</t>
        </is>
      </c>
      <c r="C24" s="17" t="inlineStr"/>
      <c r="D24" s="26">
        <f>$D$15/$D$13</f>
        <v/>
      </c>
      <c r="K24" s="17" t="inlineStr">
        <is>
          <t>lamy</t>
        </is>
      </c>
      <c r="L24" s="24" t="inlineStr">
        <is>
          <t>valor = KyLy/ry</t>
        </is>
      </c>
    </row>
    <row r="25">
      <c r="A25" s="17" t="n">
        <v>17</v>
      </c>
      <c r="B25" s="8" t="inlineStr">
        <is>
          <t>λc gobernante</t>
        </is>
      </c>
      <c r="C25" s="17" t="inlineStr"/>
      <c r="D25" s="36">
        <f>MAX($D$23,$D$24)/PI()*SQRT($D$10/$D$9)</f>
        <v/>
      </c>
      <c r="K25" s="17" t="inlineStr">
        <is>
          <t>lamc</t>
        </is>
      </c>
      <c r="L25" s="24" t="inlineStr">
        <is>
          <t>valor = MAX(lamx,lamy)/PI()*SQRT(Fy_ksi/E_ksi)</t>
        </is>
      </c>
    </row>
    <row r="26">
      <c r="A26" s="17" t="n">
        <v>18</v>
      </c>
      <c r="B26" s="8" t="inlineStr">
        <is>
          <t>Tensión crítica</t>
        </is>
      </c>
      <c r="C26" s="17" t="inlineStr">
        <is>
          <t>ksi</t>
        </is>
      </c>
      <c r="D26" s="26">
        <f>IF($D$25&lt;=1.5,0.658^($D$25^2),0.877/$D$25^2)*$D$10</f>
        <v/>
      </c>
      <c r="K26" s="17" t="inlineStr">
        <is>
          <t>Fcr</t>
        </is>
      </c>
      <c r="L26" s="24" t="inlineStr">
        <is>
          <t>valor = IF(lamc&lt;=1.5,0.658^(lamc^2),0.877/lamc^2)*Fy_ksi</t>
        </is>
      </c>
    </row>
    <row r="27">
      <c r="A27" s="17" t="n">
        <v>19</v>
      </c>
      <c r="B27" s="8" t="inlineStr">
        <is>
          <t>φc·Pn recalculado con la fórmula del libro</t>
        </is>
      </c>
      <c r="C27" s="17" t="inlineStr">
        <is>
          <t>kip</t>
        </is>
      </c>
      <c r="D27" s="38">
        <f>0.85*$D$11*$D$26</f>
        <v/>
      </c>
      <c r="K27" s="17" t="inlineStr">
        <is>
          <t>phiPn</t>
        </is>
      </c>
      <c r="L27" s="24" t="inlineStr">
        <is>
          <t>valor = 0.85*A_in2*Fcr</t>
        </is>
      </c>
    </row>
    <row r="28">
      <c r="A28" s="17" t="n">
        <v>20</v>
      </c>
      <c r="B28" s="8" t="inlineStr">
        <is>
          <t>φc·Pn en kN</t>
        </is>
      </c>
      <c r="C28" s="17" t="inlineStr">
        <is>
          <t>kN</t>
        </is>
      </c>
      <c r="D28" s="38">
        <f>$D$27*4.4482216</f>
        <v/>
      </c>
      <c r="K28" s="17" t="inlineStr">
        <is>
          <t>phiPnkN</t>
        </is>
      </c>
      <c r="L28" s="24" t="inlineStr">
        <is>
          <t>valor = phiPn*4.4482216</t>
        </is>
      </c>
    </row>
    <row r="30">
      <c r="A30" s="22" t="inlineStr">
        <is>
          <t>COMPARACIÓN: TEORÍA / DATO PUBLICADO  vs  PROGRAMA (Atlas Estructuras 3D)</t>
        </is>
      </c>
      <c r="B30" s="22" t="n"/>
      <c r="C30" s="22" t="n"/>
      <c r="D30" s="22" t="n"/>
      <c r="E30" s="22" t="n"/>
      <c r="F30" s="22" t="n"/>
      <c r="G30" s="22" t="n"/>
      <c r="H30" s="22" t="n"/>
      <c r="I30" s="22" t="n"/>
      <c r="J30" s="22" t="n"/>
      <c r="K30" s="22" t="n"/>
      <c r="L30" s="22" t="n"/>
      <c r="M30" s="22" t="n"/>
      <c r="N30" s="22" t="n"/>
    </row>
    <row r="31" ht="30" customHeight="1">
      <c r="A31" s="5" t="inlineStr">
        <is>
          <t>#</t>
        </is>
      </c>
      <c r="B31" s="5" t="inlineStr">
        <is>
          <t>Comprobación</t>
        </is>
      </c>
      <c r="C31" s="5" t="inlineStr">
        <is>
          <t>Unidad</t>
        </is>
      </c>
      <c r="D31" s="5" t="inlineStr">
        <is>
          <t>Teoría / publicado</t>
        </is>
      </c>
      <c r="E31" s="5" t="inlineStr">
        <is>
          <t>Programa</t>
        </is>
      </c>
      <c r="F31" s="5" t="inlineStr">
        <is>
          <t>Diferencia (prog. − teoría)</t>
        </is>
      </c>
      <c r="G31" s="5" t="inlineStr">
        <is>
          <t>Error relativo</t>
        </is>
      </c>
      <c r="H31" s="5" t="inlineStr">
        <is>
          <t>Tol. relativa</t>
        </is>
      </c>
      <c r="I31" s="5" t="inlineStr">
        <is>
          <t>Tol. absoluta</t>
        </is>
      </c>
      <c r="J31" s="5" t="inlineStr">
        <is>
          <t>Estado</t>
        </is>
      </c>
      <c r="K31" s="5" t="inlineStr">
        <is>
          <t>Origen</t>
        </is>
      </c>
      <c r="L31" s="5" t="inlineStr">
        <is>
          <t>Expresión de la teoría (texto)</t>
        </is>
      </c>
      <c r="M31" s="5" t="inlineStr">
        <is>
          <t>Dónde se lee en el programa</t>
        </is>
      </c>
      <c r="N31" s="5" t="inlineStr">
        <is>
          <t>Nota</t>
        </is>
      </c>
    </row>
    <row r="32" ht="28" customHeight="1">
      <c r="A32" s="17" t="n">
        <v>1</v>
      </c>
      <c r="B32" s="8" t="inlineStr">
        <is>
          <t>Esbeltez del eje fuerte KxLx/rx (publicada 57,32), la mayor</t>
        </is>
      </c>
      <c r="C32" s="17" t="inlineStr"/>
      <c r="D32" s="26">
        <f>57.32</f>
        <v/>
      </c>
      <c r="E32" s="25" t="n">
        <v>57.32877495144356</v>
      </c>
      <c r="F32" s="27">
        <f>E32-D32</f>
        <v/>
      </c>
      <c r="G32" s="28">
        <f>IF(ABS(D32)&gt;0.000000000001,F32/D32,"—")</f>
        <v/>
      </c>
      <c r="H32" s="29" t="n">
        <v>0.001</v>
      </c>
      <c r="I32" s="30" t="n">
        <v>1e-06</v>
      </c>
      <c r="J32" s="31">
        <f>IF(ABS(F32)&lt;=MAX(H32*ABS(D32),I32),"OK","NO")</f>
        <v/>
      </c>
      <c r="K32" s="32" t="inlineStr">
        <is>
          <t>Publicado</t>
        </is>
      </c>
      <c r="L32" s="9" t="inlineStr">
        <is>
          <t>57.32</t>
        </is>
      </c>
      <c r="M32" s="9" t="inlineStr">
        <is>
          <t>Barra 1: esbeltez KL/r gobernante (verificación de perfiles)</t>
        </is>
      </c>
      <c r="N32" s="9" t="inlineStr"/>
    </row>
    <row r="33" ht="28" customHeight="1">
      <c r="A33" s="17" t="n">
        <v>2</v>
      </c>
      <c r="B33" s="8" t="inlineStr">
        <is>
          <t>Resistencia de diseño a compresión φc·Pn (publicada ≈ 1 300 kip)</t>
        </is>
      </c>
      <c r="C33" s="17" t="inlineStr">
        <is>
          <t>kN</t>
        </is>
      </c>
      <c r="D33" s="38">
        <f>1300*4.4482216</f>
        <v/>
      </c>
      <c r="E33" s="23" t="n">
        <v>5768.239988281418</v>
      </c>
      <c r="F33" s="27">
        <f>E33-D33</f>
        <v/>
      </c>
      <c r="G33" s="28">
        <f>IF(ABS(D33)&gt;0.000000000001,F33/D33,"—")</f>
        <v/>
      </c>
      <c r="H33" s="29" t="n">
        <v>0.005</v>
      </c>
      <c r="I33" s="30" t="n">
        <v>1e-06</v>
      </c>
      <c r="J33" s="31">
        <f>IF(ABS(F33)&lt;=MAX(H33*ABS(D33),I33),"OK","NO")</f>
        <v/>
      </c>
      <c r="K33" s="32" t="inlineStr">
        <is>
          <t>Publicado</t>
        </is>
      </c>
      <c r="L33" s="9" t="inlineStr">
        <is>
          <t>1300*4.4482216</t>
        </is>
      </c>
      <c r="M33" s="9" t="inlineStr">
        <is>
          <t>Barra 1: φc·Pn compresión (verificación de perfiles)</t>
        </is>
      </c>
      <c r="N33" s="9" t="inlineStr">
        <is>
          <t>El libro toma 1 300 kip de la tabla (por fórmula: 1 296,7 kip).</t>
        </is>
      </c>
    </row>
    <row r="34" ht="16" customHeight="1">
      <c r="A34" s="17" t="n">
        <v>3</v>
      </c>
      <c r="B34" s="8" t="inlineStr">
        <is>
          <t>φc·Pn recalculado con la fórmula del libro</t>
        </is>
      </c>
      <c r="C34" s="17" t="inlineStr">
        <is>
          <t>kN</t>
        </is>
      </c>
      <c r="D34" s="38">
        <f>$D$28</f>
        <v/>
      </c>
      <c r="E34" s="23" t="n">
        <v>5768.239988281418</v>
      </c>
      <c r="F34" s="27">
        <f>E34-D34</f>
        <v/>
      </c>
      <c r="G34" s="28">
        <f>IF(ABS(D34)&gt;0.000000000001,F34/D34,"—")</f>
        <v/>
      </c>
      <c r="H34" s="29" t="n">
        <v>0.002</v>
      </c>
      <c r="I34" s="30" t="n">
        <v>1e-06</v>
      </c>
      <c r="J34" s="31">
        <f>IF(ABS(F34)&lt;=MAX(H34*ABS(D34),I34),"OK","NO")</f>
        <v/>
      </c>
      <c r="K34" s="17" t="inlineStr">
        <is>
          <t>Fórmula</t>
        </is>
      </c>
      <c r="L34" s="9" t="inlineStr">
        <is>
          <t>phiPnkN</t>
        </is>
      </c>
      <c r="M34" s="9" t="inlineStr">
        <is>
          <t>Barra 1: φc·Pn compresión (verificación de perfiles)</t>
        </is>
      </c>
      <c r="N34" s="9" t="inlineStr"/>
    </row>
    <row r="35" ht="28" customHeight="1">
      <c r="A35" s="17" t="n">
        <v>4</v>
      </c>
      <c r="B35" s="8" t="inlineStr">
        <is>
          <t>Relación de uso Pu / φc·Pn</t>
        </is>
      </c>
      <c r="C35" s="17" t="inlineStr"/>
      <c r="D35" s="36">
        <f>$D$22/$D$28</f>
        <v/>
      </c>
      <c r="E35" s="37" t="n">
        <v>0.7711575123498453</v>
      </c>
      <c r="F35" s="27">
        <f>E35-D35</f>
        <v/>
      </c>
      <c r="G35" s="28">
        <f>IF(ABS(D35)&gt;0.000000000001,F35/D35,"—")</f>
        <v/>
      </c>
      <c r="H35" s="29" t="n">
        <v>0.002</v>
      </c>
      <c r="I35" s="30" t="n">
        <v>1e-06</v>
      </c>
      <c r="J35" s="31">
        <f>IF(ABS(F35)&lt;=MAX(H35*ABS(D35),I35),"OK","NO")</f>
        <v/>
      </c>
      <c r="K35" s="17" t="inlineStr">
        <is>
          <t>Fórmula</t>
        </is>
      </c>
      <c r="L35" s="9" t="inlineStr">
        <is>
          <t>Pu/phiPnkN</t>
        </is>
      </c>
      <c r="M35" s="9" t="inlineStr">
        <is>
          <t>Barra 1: relación de uso r máxima entre combinaciones de resistencia</t>
        </is>
      </c>
      <c r="N35" s="9" t="inlineStr"/>
    </row>
    <row r="37">
      <c r="B37" s="4" t="inlineStr">
        <is>
          <t>Comprobaciones dentro de tolerancia</t>
        </is>
      </c>
      <c r="D37" s="4">
        <f>COUNTIF(J32:J35,"OK")</f>
        <v/>
      </c>
      <c r="E37" s="4">
        <f>ROWS(J32:J35)</f>
        <v/>
      </c>
      <c r="F37" s="4">
        <f>IF(D37=E37,"VERIFICA","DIFIERE")</f>
        <v/>
      </c>
    </row>
    <row r="38">
      <c r="B38" s="2" t="inlineStr">
        <is>
          <t>Azul = dato ingresado o valor que entregó el programa (pegado); negro = fórmula de Excel. El valor «Programa» es el resultado del motor de cálculo de la app para el mismo modelo.</t>
        </is>
      </c>
    </row>
  </sheetData>
  <mergeCells count="2">
    <mergeCell ref="A5:L5"/>
    <mergeCell ref="A4:L4"/>
  </mergeCells>
  <conditionalFormatting sqref="J32:J35">
    <cfRule type="cellIs" priority="1" operator="equal" dxfId="0">
      <formula>"OK"</formula>
    </cfRule>
    <cfRule type="cellIs" priority="2" operator="equal" dxfId="1">
      <formula>"NO"</formula>
    </cfRule>
  </conditionalFormatting>
  <hyperlinks>
    <hyperlink xmlns:r="http://schemas.openxmlformats.org/officeDocument/2006/relationships" ref="A3" r:id="rId1"/>
  </hyperlinks>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N28"/>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C01 · Viga biapoyada con carga uniforme (D + L y combinaciones)</t>
        </is>
      </c>
    </row>
    <row r="2">
      <c r="A2" s="2" t="inlineStr">
        <is>
          <t>Solución clásica.  Fuente: Soluciones clásicas de resistencia de materiales y análisis estructural (tablas de vigas, método de pendiente-deflexión, método de los nudos, castigliano)</t>
        </is>
      </c>
    </row>
    <row r="3" ht="30" customHeight="1">
      <c r="A3" s="14" t="inlineStr">
        <is>
          <t>Enunciado. Viga IPE 200 de 4,00 m, apoyo fijo en A y móvil en B. Carga uniforme permanente D = 6 kN/m y sobrecarga L = 4 kN/m. Se verifican reacciones, flecha, giro, momento y corte con la combinación de servicio D+L y la de resistencia 1,2D+1,6L (comprueba también el manejo de factores).</t>
        </is>
      </c>
    </row>
    <row r="5">
      <c r="A5" s="22" t="inlineStr">
        <is>
          <t>DATOS DEL EJERCICIO</t>
        </is>
      </c>
      <c r="B5" s="22" t="n"/>
      <c r="C5" s="22" t="n"/>
      <c r="D5" s="22" t="n"/>
      <c r="E5" s="22" t="n"/>
      <c r="F5" s="22" t="n"/>
      <c r="G5" s="22" t="n"/>
      <c r="H5" s="22" t="n"/>
      <c r="I5" s="22" t="n"/>
      <c r="J5" s="22" t="n"/>
      <c r="K5" s="22" t="n"/>
      <c r="L5" s="22" t="n"/>
      <c r="M5" s="22" t="n"/>
      <c r="N5" s="22" t="n"/>
    </row>
    <row r="6">
      <c r="A6" s="5" t="inlineStr">
        <is>
          <t>#</t>
        </is>
      </c>
      <c r="B6" s="5" t="inlineStr">
        <is>
          <t>Dato</t>
        </is>
      </c>
      <c r="C6" s="5" t="inlineStr">
        <is>
          <t>Unidad</t>
        </is>
      </c>
      <c r="D6" s="5" t="inlineStr">
        <is>
          <t>Valor</t>
        </is>
      </c>
      <c r="K6" s="5" t="inlineStr">
        <is>
          <t>Símbolo</t>
        </is>
      </c>
      <c r="L6" s="5" t="inlineStr">
        <is>
          <t>Fórmula (texto)</t>
        </is>
      </c>
    </row>
    <row r="7">
      <c r="A7" s="17" t="n">
        <v>1</v>
      </c>
      <c r="B7" s="8" t="inlineStr">
        <is>
          <t>Módulo elástico</t>
        </is>
      </c>
      <c r="C7" s="17" t="inlineStr">
        <is>
          <t>MPa</t>
        </is>
      </c>
      <c r="D7" s="23" t="n">
        <v>200000</v>
      </c>
      <c r="K7" s="17" t="inlineStr">
        <is>
          <t>E</t>
        </is>
      </c>
      <c r="L7" s="24" t="inlineStr">
        <is>
          <t>dato ingresado</t>
        </is>
      </c>
    </row>
    <row r="8">
      <c r="A8" s="17" t="n">
        <v>2</v>
      </c>
      <c r="B8" s="8" t="inlineStr">
        <is>
          <t>Luz</t>
        </is>
      </c>
      <c r="C8" s="17" t="inlineStr">
        <is>
          <t>mm</t>
        </is>
      </c>
      <c r="D8" s="23" t="n">
        <v>4000</v>
      </c>
      <c r="K8" s="17" t="inlineStr">
        <is>
          <t>L</t>
        </is>
      </c>
      <c r="L8" s="24" t="inlineStr">
        <is>
          <t>dato ingresado</t>
        </is>
      </c>
    </row>
    <row r="9">
      <c r="A9" s="17" t="n">
        <v>3</v>
      </c>
      <c r="B9" s="8" t="inlineStr">
        <is>
          <t>Carga permanente</t>
        </is>
      </c>
      <c r="C9" s="17" t="inlineStr">
        <is>
          <t>kN/m</t>
        </is>
      </c>
      <c r="D9" s="25" t="n">
        <v>6</v>
      </c>
      <c r="K9" s="17" t="inlineStr">
        <is>
          <t>qD</t>
        </is>
      </c>
      <c r="L9" s="24" t="inlineStr">
        <is>
          <t>dato ingresado</t>
        </is>
      </c>
    </row>
    <row r="10">
      <c r="A10" s="17" t="n">
        <v>4</v>
      </c>
      <c r="B10" s="8" t="inlineStr">
        <is>
          <t>Sobrecarga</t>
        </is>
      </c>
      <c r="C10" s="17" t="inlineStr">
        <is>
          <t>kN/m</t>
        </is>
      </c>
      <c r="D10" s="25" t="n">
        <v>4</v>
      </c>
      <c r="K10" s="17" t="inlineStr">
        <is>
          <t>qL</t>
        </is>
      </c>
      <c r="L10" s="24" t="inlineStr">
        <is>
          <t>dato ingresado</t>
        </is>
      </c>
    </row>
    <row r="11">
      <c r="A11" s="17" t="n">
        <v>5</v>
      </c>
      <c r="B11" s="8" t="inlineStr">
        <is>
          <t>Ix IPE 200 (tabla: 1943 cm⁴)</t>
        </is>
      </c>
      <c r="C11" s="17" t="inlineStr">
        <is>
          <t>mm⁴</t>
        </is>
      </c>
      <c r="D11" s="35" t="n">
        <v>19430000</v>
      </c>
      <c r="K11" s="17" t="inlineStr">
        <is>
          <t>I</t>
        </is>
      </c>
      <c r="L11" s="24" t="inlineStr">
        <is>
          <t>dato ingresado</t>
        </is>
      </c>
    </row>
    <row r="12">
      <c r="A12" s="17" t="n">
        <v>6</v>
      </c>
      <c r="B12" s="8" t="inlineStr">
        <is>
          <t>Carga de servicio D+L</t>
        </is>
      </c>
      <c r="C12" s="17" t="inlineStr">
        <is>
          <t>kN/m</t>
        </is>
      </c>
      <c r="D12" s="26">
        <f>$D$9+$D$10</f>
        <v/>
      </c>
      <c r="K12" s="17" t="inlineStr">
        <is>
          <t>q</t>
        </is>
      </c>
      <c r="L12" s="24" t="inlineStr">
        <is>
          <t>valor = qD+qL</t>
        </is>
      </c>
    </row>
    <row r="13">
      <c r="A13" s="17" t="n">
        <v>7</v>
      </c>
      <c r="B13" s="8" t="inlineStr">
        <is>
          <t>Carga última 1,2D+1,6L</t>
        </is>
      </c>
      <c r="C13" s="17" t="inlineStr">
        <is>
          <t>kN/m</t>
        </is>
      </c>
      <c r="D13" s="26">
        <f>1.2*$D$9+1.6*$D$10</f>
        <v/>
      </c>
      <c r="K13" s="17" t="inlineStr">
        <is>
          <t>qu</t>
        </is>
      </c>
      <c r="L13" s="24" t="inlineStr">
        <is>
          <t>valor = 1.2*qD+1.6*qL</t>
        </is>
      </c>
    </row>
    <row r="15">
      <c r="A15" s="22" t="inlineStr">
        <is>
          <t>COMPARACIÓN: TEORÍA / DATO PUBLICADO  vs  PROGRAMA (Atlas Estructuras 3D)</t>
        </is>
      </c>
      <c r="B15" s="22" t="n"/>
      <c r="C15" s="22" t="n"/>
      <c r="D15" s="22" t="n"/>
      <c r="E15" s="22" t="n"/>
      <c r="F15" s="22" t="n"/>
      <c r="G15" s="22" t="n"/>
      <c r="H15" s="22" t="n"/>
      <c r="I15" s="22" t="n"/>
      <c r="J15" s="22" t="n"/>
      <c r="K15" s="22" t="n"/>
      <c r="L15" s="22" t="n"/>
      <c r="M15" s="22" t="n"/>
      <c r="N15" s="22" t="n"/>
    </row>
    <row r="16" ht="30" customHeight="1">
      <c r="A16" s="5" t="inlineStr">
        <is>
          <t>#</t>
        </is>
      </c>
      <c r="B16" s="5" t="inlineStr">
        <is>
          <t>Comprobación</t>
        </is>
      </c>
      <c r="C16" s="5" t="inlineStr">
        <is>
          <t>Unidad</t>
        </is>
      </c>
      <c r="D16" s="5" t="inlineStr">
        <is>
          <t>Teoría / publicado</t>
        </is>
      </c>
      <c r="E16" s="5" t="inlineStr">
        <is>
          <t>Programa</t>
        </is>
      </c>
      <c r="F16" s="5" t="inlineStr">
        <is>
          <t>Diferencia (prog. − teoría)</t>
        </is>
      </c>
      <c r="G16" s="5" t="inlineStr">
        <is>
          <t>Error relativo</t>
        </is>
      </c>
      <c r="H16" s="5" t="inlineStr">
        <is>
          <t>Tol. relativa</t>
        </is>
      </c>
      <c r="I16" s="5" t="inlineStr">
        <is>
          <t>Tol. absoluta</t>
        </is>
      </c>
      <c r="J16" s="5" t="inlineStr">
        <is>
          <t>Estado</t>
        </is>
      </c>
      <c r="K16" s="5" t="inlineStr">
        <is>
          <t>Origen</t>
        </is>
      </c>
      <c r="L16" s="5" t="inlineStr">
        <is>
          <t>Expresión de la teoría (texto)</t>
        </is>
      </c>
      <c r="M16" s="5" t="inlineStr">
        <is>
          <t>Dónde se lee en el programa</t>
        </is>
      </c>
      <c r="N16" s="5" t="inlineStr">
        <is>
          <t>Nota</t>
        </is>
      </c>
    </row>
    <row r="17" ht="16" customHeight="1">
      <c r="A17" s="17" t="n">
        <v>1</v>
      </c>
      <c r="B17" s="8" t="inlineStr">
        <is>
          <t>Reacción en A (D+L)</t>
        </is>
      </c>
      <c r="C17" s="17" t="inlineStr">
        <is>
          <t>kN</t>
        </is>
      </c>
      <c r="D17" s="26">
        <f>$D$12*$D$8/2000</f>
        <v/>
      </c>
      <c r="E17" s="25" t="n">
        <v>20</v>
      </c>
      <c r="F17" s="27">
        <f>E17-D17</f>
        <v/>
      </c>
      <c r="G17" s="28">
        <f>IF(ABS(D17)&gt;0.000000000001,F17/D17,"—")</f>
        <v/>
      </c>
      <c r="H17" s="29" t="n">
        <v>0.0001</v>
      </c>
      <c r="I17" s="30" t="n">
        <v>1e-06</v>
      </c>
      <c r="J17" s="31">
        <f>IF(ABS(F17)&lt;=MAX(H17*ABS(D17),I17),"OK","NO")</f>
        <v/>
      </c>
      <c r="K17" s="17" t="inlineStr">
        <is>
          <t>Fórmula</t>
        </is>
      </c>
      <c r="L17" s="9" t="inlineStr">
        <is>
          <t>q*L/2000</t>
        </is>
      </c>
      <c r="M17" s="9" t="inlineStr">
        <is>
          <t>Reacción Fz en el nudo 1 · combinación «S1: D+L»</t>
        </is>
      </c>
      <c r="N17" s="9" t="inlineStr"/>
    </row>
    <row r="18" ht="16" customHeight="1">
      <c r="A18" s="17" t="n">
        <v>2</v>
      </c>
      <c r="B18" s="8" t="inlineStr">
        <is>
          <t>Reacción en B (1,2D+1,6L)</t>
        </is>
      </c>
      <c r="C18" s="17" t="inlineStr">
        <is>
          <t>kN</t>
        </is>
      </c>
      <c r="D18" s="26">
        <f>$D$13*$D$8/2000</f>
        <v/>
      </c>
      <c r="E18" s="25" t="n">
        <v>27.2</v>
      </c>
      <c r="F18" s="27">
        <f>E18-D18</f>
        <v/>
      </c>
      <c r="G18" s="28">
        <f>IF(ABS(D18)&gt;0.000000000001,F18/D18,"—")</f>
        <v/>
      </c>
      <c r="H18" s="29" t="n">
        <v>0.0001</v>
      </c>
      <c r="I18" s="30" t="n">
        <v>1e-06</v>
      </c>
      <c r="J18" s="31">
        <f>IF(ABS(F18)&lt;=MAX(H18*ABS(D18),I18),"OK","NO")</f>
        <v/>
      </c>
      <c r="K18" s="17" t="inlineStr">
        <is>
          <t>Fórmula</t>
        </is>
      </c>
      <c r="L18" s="9" t="inlineStr">
        <is>
          <t>qu*L/2000</t>
        </is>
      </c>
      <c r="M18" s="9" t="inlineStr">
        <is>
          <t>Reacción Fz en el nudo 2 · combinación «U2: 1,2D+1,6L»</t>
        </is>
      </c>
      <c r="N18" s="9" t="inlineStr"/>
    </row>
    <row r="19" ht="28" customHeight="1">
      <c r="A19" s="17" t="n">
        <v>3</v>
      </c>
      <c r="B19" s="8" t="inlineStr">
        <is>
          <t>Flecha en el centro (D+L)</t>
        </is>
      </c>
      <c r="C19" s="17" t="inlineStr">
        <is>
          <t>mm</t>
        </is>
      </c>
      <c r="D19" s="26">
        <f>-5*$D$12*$D$8^4/(384*$D$7*$D$11)</f>
        <v/>
      </c>
      <c r="E19" s="25" t="n">
        <v>-8.577800648381077</v>
      </c>
      <c r="F19" s="27">
        <f>E19-D19</f>
        <v/>
      </c>
      <c r="G19" s="28">
        <f>IF(ABS(D19)&gt;0.000000000001,F19/D19,"—")</f>
        <v/>
      </c>
      <c r="H19" s="29" t="n">
        <v>0.0001</v>
      </c>
      <c r="I19" s="30" t="n">
        <v>1e-06</v>
      </c>
      <c r="J19" s="31">
        <f>IF(ABS(F19)&lt;=MAX(H19*ABS(D19),I19),"OK","NO")</f>
        <v/>
      </c>
      <c r="K19" s="17" t="inlineStr">
        <is>
          <t>Fórmula</t>
        </is>
      </c>
      <c r="L19" s="9" t="inlineStr">
        <is>
          <t>-5*q*L^4/(384*E*I)</t>
        </is>
      </c>
      <c r="M19" s="9" t="inlineStr">
        <is>
          <t>Barra 1, en x = 0.5·L, flecha vy (plano del alma) · combinación «S1: D+L»</t>
        </is>
      </c>
      <c r="N19" s="9" t="inlineStr"/>
    </row>
    <row r="20" ht="16" customHeight="1">
      <c r="A20" s="17" t="n">
        <v>4</v>
      </c>
      <c r="B20" s="8" t="inlineStr">
        <is>
          <t>Giro en el apoyo A (D+L)</t>
        </is>
      </c>
      <c r="C20" s="17" t="inlineStr">
        <is>
          <t>rad</t>
        </is>
      </c>
      <c r="D20" s="33">
        <f>ABS($D$12*$D$8^3/(24*$D$7*$D$11))</f>
        <v/>
      </c>
      <c r="E20" s="34" t="n">
        <v>0.006862240517998504</v>
      </c>
      <c r="F20" s="27">
        <f>E20-D20</f>
        <v/>
      </c>
      <c r="G20" s="28">
        <f>IF(ABS(D20)&gt;0.000000000001,F20/D20,"—")</f>
        <v/>
      </c>
      <c r="H20" s="29" t="n">
        <v>0.0001</v>
      </c>
      <c r="I20" s="30" t="n">
        <v>1e-06</v>
      </c>
      <c r="J20" s="31">
        <f>IF(ABS(F20)&lt;=MAX(H20*ABS(D20),I20),"OK","NO")</f>
        <v/>
      </c>
      <c r="K20" s="17" t="inlineStr">
        <is>
          <t>Fórmula</t>
        </is>
      </c>
      <c r="L20" s="9" t="inlineStr">
        <is>
          <t>q*L^3/(24*E*I)</t>
        </is>
      </c>
      <c r="M20" s="9" t="inlineStr">
        <is>
          <t>Desplazamiento Ry del nudo 1 · combinación «S1: D+L»</t>
        </is>
      </c>
      <c r="N20" s="9" t="inlineStr">
        <is>
          <t>Se comparan valores absolutos (la convención de signo es independiente del resultado).</t>
        </is>
      </c>
    </row>
    <row r="21" ht="16" customHeight="1">
      <c r="A21" s="17" t="n">
        <v>5</v>
      </c>
      <c r="B21" s="8" t="inlineStr">
        <is>
          <t>Giro en el apoyo A (1,2D+1,6L)</t>
        </is>
      </c>
      <c r="C21" s="17" t="inlineStr">
        <is>
          <t>rad</t>
        </is>
      </c>
      <c r="D21" s="33">
        <f>ABS($D$13*$D$8^3/(24*$D$7*$D$11))</f>
        <v/>
      </c>
      <c r="E21" s="34" t="n">
        <v>0.009332647104477964</v>
      </c>
      <c r="F21" s="27">
        <f>E21-D21</f>
        <v/>
      </c>
      <c r="G21" s="28">
        <f>IF(ABS(D21)&gt;0.000000000001,F21/D21,"—")</f>
        <v/>
      </c>
      <c r="H21" s="29" t="n">
        <v>0.0001</v>
      </c>
      <c r="I21" s="30" t="n">
        <v>1e-06</v>
      </c>
      <c r="J21" s="31">
        <f>IF(ABS(F21)&lt;=MAX(H21*ABS(D21),I21),"OK","NO")</f>
        <v/>
      </c>
      <c r="K21" s="17" t="inlineStr">
        <is>
          <t>Fórmula</t>
        </is>
      </c>
      <c r="L21" s="9" t="inlineStr">
        <is>
          <t>qu*L^3/(24*E*I)</t>
        </is>
      </c>
      <c r="M21" s="9" t="inlineStr">
        <is>
          <t>Desplazamiento Ry del nudo 1 · combinación «U2: 1,2D+1,6L»</t>
        </is>
      </c>
      <c r="N21" s="9" t="inlineStr">
        <is>
          <t>Se comparan valores absolutos (la convención de signo es independiente del resultado).</t>
        </is>
      </c>
    </row>
    <row r="22" ht="28" customHeight="1">
      <c r="A22" s="17" t="n">
        <v>6</v>
      </c>
      <c r="B22" s="8" t="inlineStr">
        <is>
          <t>Momento máximo en el centro (1,2D+1,6L)</t>
        </is>
      </c>
      <c r="C22" s="17" t="inlineStr">
        <is>
          <t>kN·m</t>
        </is>
      </c>
      <c r="D22" s="26">
        <f>ABS($D$13*$D$8^2/8/1000000)</f>
        <v/>
      </c>
      <c r="E22" s="25" t="n">
        <v>27.19999999066735</v>
      </c>
      <c r="F22" s="27">
        <f>E22-D22</f>
        <v/>
      </c>
      <c r="G22" s="28">
        <f>IF(ABS(D22)&gt;0.000000000001,F22/D22,"—")</f>
        <v/>
      </c>
      <c r="H22" s="29" t="n">
        <v>0.0001</v>
      </c>
      <c r="I22" s="30" t="n">
        <v>1e-06</v>
      </c>
      <c r="J22" s="31">
        <f>IF(ABS(F22)&lt;=MAX(H22*ABS(D22),I22),"OK","NO")</f>
        <v/>
      </c>
      <c r="K22" s="17" t="inlineStr">
        <is>
          <t>Fórmula</t>
        </is>
      </c>
      <c r="L22" s="9" t="inlineStr">
        <is>
          <t>qu*L^2/8/1000000</t>
        </is>
      </c>
      <c r="M22" s="9" t="inlineStr">
        <is>
          <t>Barra 1, en x = 0.5·L, momento flector Mz (eje fuerte) · combinación «U2: 1,2D+1,6L»</t>
        </is>
      </c>
      <c r="N22" s="9" t="inlineStr">
        <is>
          <t>Se comparan valores absolutos (la convención de signo es independiente del resultado).</t>
        </is>
      </c>
    </row>
    <row r="23" ht="28" customHeight="1">
      <c r="A23" s="17" t="n">
        <v>7</v>
      </c>
      <c r="B23" s="8" t="inlineStr">
        <is>
          <t>Corte en el apoyo A (1,2D+1,6L)</t>
        </is>
      </c>
      <c r="C23" s="17" t="inlineStr">
        <is>
          <t>kN</t>
        </is>
      </c>
      <c r="D23" s="26">
        <f>ABS($D$13*$D$8/2000)</f>
        <v/>
      </c>
      <c r="E23" s="25" t="n">
        <v>27.2</v>
      </c>
      <c r="F23" s="27">
        <f>E23-D23</f>
        <v/>
      </c>
      <c r="G23" s="28">
        <f>IF(ABS(D23)&gt;0.000000000001,F23/D23,"—")</f>
        <v/>
      </c>
      <c r="H23" s="29" t="n">
        <v>0.0001</v>
      </c>
      <c r="I23" s="30" t="n">
        <v>1e-06</v>
      </c>
      <c r="J23" s="31">
        <f>IF(ABS(F23)&lt;=MAX(H23*ABS(D23),I23),"OK","NO")</f>
        <v/>
      </c>
      <c r="K23" s="17" t="inlineStr">
        <is>
          <t>Fórmula</t>
        </is>
      </c>
      <c r="L23" s="9" t="inlineStr">
        <is>
          <t>qu*L/2000</t>
        </is>
      </c>
      <c r="M23" s="9" t="inlineStr">
        <is>
          <t>Barra 1, en x = 0·L, corte Vy (en el plano del alma) · combinación «U2: 1,2D+1,6L»</t>
        </is>
      </c>
      <c r="N23" s="9" t="inlineStr">
        <is>
          <t>Se comparan valores absolutos (la convención de signo es independiente del resultado).</t>
        </is>
      </c>
    </row>
    <row r="24" ht="28" customHeight="1">
      <c r="A24" s="17" t="n">
        <v>8</v>
      </c>
      <c r="B24" s="8" t="inlineStr">
        <is>
          <t>Corte en el centro</t>
        </is>
      </c>
      <c r="C24" s="17" t="inlineStr">
        <is>
          <t>kN</t>
        </is>
      </c>
      <c r="D24" s="33">
        <f>0</f>
        <v/>
      </c>
      <c r="E24" s="34" t="n">
        <v>2.182787284255028e-15</v>
      </c>
      <c r="F24" s="27">
        <f>E24-D24</f>
        <v/>
      </c>
      <c r="G24" s="28">
        <f>IF(ABS(D24)&gt;0.000000000001,F24/D24,"—")</f>
        <v/>
      </c>
      <c r="H24" s="29" t="n">
        <v>0.0001</v>
      </c>
      <c r="I24" s="30" t="n">
        <v>1e-06</v>
      </c>
      <c r="J24" s="31">
        <f>IF(ABS(F24)&lt;=MAX(H24*ABS(D24),I24),"OK","NO")</f>
        <v/>
      </c>
      <c r="K24" s="17" t="inlineStr">
        <is>
          <t>Fórmula</t>
        </is>
      </c>
      <c r="L24" s="9" t="inlineStr">
        <is>
          <t>0</t>
        </is>
      </c>
      <c r="M24" s="9" t="inlineStr">
        <is>
          <t>Barra 1, en x = 0.5·L, corte Vy (en el plano del alma) · combinación «U2: 1,2D+1,6L»</t>
        </is>
      </c>
      <c r="N24" s="9" t="inlineStr"/>
    </row>
    <row r="25" ht="28" customHeight="1">
      <c r="A25" s="17" t="n">
        <v>9</v>
      </c>
      <c r="B25" s="8" t="inlineStr">
        <is>
          <t>Momento en el apoyo A</t>
        </is>
      </c>
      <c r="C25" s="17" t="inlineStr">
        <is>
          <t>kN·m</t>
        </is>
      </c>
      <c r="D25" s="33">
        <f>0</f>
        <v/>
      </c>
      <c r="E25" s="34" t="n">
        <v>-9.332658281452344e-09</v>
      </c>
      <c r="F25" s="27">
        <f>E25-D25</f>
        <v/>
      </c>
      <c r="G25" s="28">
        <f>IF(ABS(D25)&gt;0.000000000001,F25/D25,"—")</f>
        <v/>
      </c>
      <c r="H25" s="29" t="n">
        <v>0.0001</v>
      </c>
      <c r="I25" s="30" t="n">
        <v>1e-06</v>
      </c>
      <c r="J25" s="31">
        <f>IF(ABS(F25)&lt;=MAX(H25*ABS(D25),I25),"OK","NO")</f>
        <v/>
      </c>
      <c r="K25" s="17" t="inlineStr">
        <is>
          <t>Fórmula</t>
        </is>
      </c>
      <c r="L25" s="9" t="inlineStr">
        <is>
          <t>0</t>
        </is>
      </c>
      <c r="M25" s="9" t="inlineStr">
        <is>
          <t>Barra 1, en x = 0·L, momento flector Mz (eje fuerte) · combinación «U2: 1,2D+1,6L»</t>
        </is>
      </c>
      <c r="N25" s="9" t="inlineStr"/>
    </row>
    <row r="27">
      <c r="B27" s="4" t="inlineStr">
        <is>
          <t>Comprobaciones dentro de tolerancia</t>
        </is>
      </c>
      <c r="D27" s="4">
        <f>COUNTIF(J17:J25,"OK")</f>
        <v/>
      </c>
      <c r="E27" s="4">
        <f>ROWS(J17:J25)</f>
        <v/>
      </c>
      <c r="F27" s="4">
        <f>IF(D27=E27,"VERIFICA","DIFIERE")</f>
        <v/>
      </c>
    </row>
    <row r="28">
      <c r="B28" s="2" t="inlineStr">
        <is>
          <t>Azul = dato ingresado o valor que entregó el programa (pegado); negro = fórmula de Excel. El valor «Programa» es el resultado del motor de cálculo de la app para el mismo modelo.</t>
        </is>
      </c>
    </row>
  </sheetData>
  <mergeCells count="1">
    <mergeCell ref="A3:L3"/>
  </mergeCells>
  <conditionalFormatting sqref="J17:J25">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A1:N24"/>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C02 · Voladizo con carga puntual en el extremo</t>
        </is>
      </c>
    </row>
    <row r="2">
      <c r="A2" s="2" t="inlineStr">
        <is>
          <t>Solución clásica.  Fuente: Soluciones clásicas de resistencia de materiales y análisis estructural (tablas de vigas, método de pendiente-deflexión, método de los nudos, castigliano)</t>
        </is>
      </c>
    </row>
    <row r="3" ht="30" customHeight="1">
      <c r="A3" s="14" t="inlineStr">
        <is>
          <t>Enunciado. Voladizo IPE 200 de 2,50 m empotrado en el nudo 1, con una carga vertical de 15 kN hacia abajo en el extremo libre. Se comparan flecha y giro del extremo, reacciones, diagramas y la flecha a media luz.</t>
        </is>
      </c>
    </row>
    <row r="5">
      <c r="A5" s="22" t="inlineStr">
        <is>
          <t>DATOS DEL EJERCICIO</t>
        </is>
      </c>
      <c r="B5" s="22" t="n"/>
      <c r="C5" s="22" t="n"/>
      <c r="D5" s="22" t="n"/>
      <c r="E5" s="22" t="n"/>
      <c r="F5" s="22" t="n"/>
      <c r="G5" s="22" t="n"/>
      <c r="H5" s="22" t="n"/>
      <c r="I5" s="22" t="n"/>
      <c r="J5" s="22" t="n"/>
      <c r="K5" s="22" t="n"/>
      <c r="L5" s="22" t="n"/>
      <c r="M5" s="22" t="n"/>
      <c r="N5" s="22" t="n"/>
    </row>
    <row r="6">
      <c r="A6" s="5" t="inlineStr">
        <is>
          <t>#</t>
        </is>
      </c>
      <c r="B6" s="5" t="inlineStr">
        <is>
          <t>Dato</t>
        </is>
      </c>
      <c r="C6" s="5" t="inlineStr">
        <is>
          <t>Unidad</t>
        </is>
      </c>
      <c r="D6" s="5" t="inlineStr">
        <is>
          <t>Valor</t>
        </is>
      </c>
      <c r="K6" s="5" t="inlineStr">
        <is>
          <t>Símbolo</t>
        </is>
      </c>
      <c r="L6" s="5" t="inlineStr">
        <is>
          <t>Fórmula (texto)</t>
        </is>
      </c>
    </row>
    <row r="7">
      <c r="A7" s="17" t="n">
        <v>1</v>
      </c>
      <c r="B7" s="8" t="inlineStr">
        <is>
          <t>Módulo elástico</t>
        </is>
      </c>
      <c r="C7" s="17" t="inlineStr">
        <is>
          <t>MPa</t>
        </is>
      </c>
      <c r="D7" s="23" t="n">
        <v>200000</v>
      </c>
      <c r="K7" s="17" t="inlineStr">
        <is>
          <t>E</t>
        </is>
      </c>
      <c r="L7" s="24" t="inlineStr">
        <is>
          <t>dato ingresado</t>
        </is>
      </c>
    </row>
    <row r="8">
      <c r="A8" s="17" t="n">
        <v>2</v>
      </c>
      <c r="B8" s="8" t="inlineStr">
        <is>
          <t>Largo</t>
        </is>
      </c>
      <c r="C8" s="17" t="inlineStr">
        <is>
          <t>mm</t>
        </is>
      </c>
      <c r="D8" s="23" t="n">
        <v>2500</v>
      </c>
      <c r="K8" s="17" t="inlineStr">
        <is>
          <t>L</t>
        </is>
      </c>
      <c r="L8" s="24" t="inlineStr">
        <is>
          <t>dato ingresado</t>
        </is>
      </c>
    </row>
    <row r="9">
      <c r="A9" s="17" t="n">
        <v>3</v>
      </c>
      <c r="B9" s="8" t="inlineStr">
        <is>
          <t>Carga en el extremo</t>
        </is>
      </c>
      <c r="C9" s="17" t="inlineStr">
        <is>
          <t>kN</t>
        </is>
      </c>
      <c r="D9" s="25" t="n">
        <v>15</v>
      </c>
      <c r="K9" s="17" t="inlineStr">
        <is>
          <t>P</t>
        </is>
      </c>
      <c r="L9" s="24" t="inlineStr">
        <is>
          <t>dato ingresado</t>
        </is>
      </c>
    </row>
    <row r="10">
      <c r="A10" s="17" t="n">
        <v>4</v>
      </c>
      <c r="B10" s="8" t="inlineStr">
        <is>
          <t>Ix IPE 200</t>
        </is>
      </c>
      <c r="C10" s="17" t="inlineStr">
        <is>
          <t>mm⁴</t>
        </is>
      </c>
      <c r="D10" s="35" t="n">
        <v>19430000</v>
      </c>
      <c r="K10" s="17" t="inlineStr">
        <is>
          <t>I</t>
        </is>
      </c>
      <c r="L10" s="24" t="inlineStr">
        <is>
          <t>dato ingresado</t>
        </is>
      </c>
    </row>
    <row r="12">
      <c r="A12" s="22" t="inlineStr">
        <is>
          <t>COMPARACIÓN: TEORÍA / DATO PUBLICADO  vs  PROGRAMA (Atlas Estructuras 3D)</t>
        </is>
      </c>
      <c r="B12" s="22" t="n"/>
      <c r="C12" s="22" t="n"/>
      <c r="D12" s="22" t="n"/>
      <c r="E12" s="22" t="n"/>
      <c r="F12" s="22" t="n"/>
      <c r="G12" s="22" t="n"/>
      <c r="H12" s="22" t="n"/>
      <c r="I12" s="22" t="n"/>
      <c r="J12" s="22" t="n"/>
      <c r="K12" s="22" t="n"/>
      <c r="L12" s="22" t="n"/>
      <c r="M12" s="22" t="n"/>
      <c r="N12" s="22" t="n"/>
    </row>
    <row r="13" ht="30" customHeight="1">
      <c r="A13" s="5" t="inlineStr">
        <is>
          <t>#</t>
        </is>
      </c>
      <c r="B13" s="5" t="inlineStr">
        <is>
          <t>Comprobación</t>
        </is>
      </c>
      <c r="C13" s="5" t="inlineStr">
        <is>
          <t>Unidad</t>
        </is>
      </c>
      <c r="D13" s="5" t="inlineStr">
        <is>
          <t>Teoría / publicado</t>
        </is>
      </c>
      <c r="E13" s="5" t="inlineStr">
        <is>
          <t>Programa</t>
        </is>
      </c>
      <c r="F13" s="5" t="inlineStr">
        <is>
          <t>Diferencia (prog. − teoría)</t>
        </is>
      </c>
      <c r="G13" s="5" t="inlineStr">
        <is>
          <t>Error relativo</t>
        </is>
      </c>
      <c r="H13" s="5" t="inlineStr">
        <is>
          <t>Tol. relativa</t>
        </is>
      </c>
      <c r="I13" s="5" t="inlineStr">
        <is>
          <t>Tol. absoluta</t>
        </is>
      </c>
      <c r="J13" s="5" t="inlineStr">
        <is>
          <t>Estado</t>
        </is>
      </c>
      <c r="K13" s="5" t="inlineStr">
        <is>
          <t>Origen</t>
        </is>
      </c>
      <c r="L13" s="5" t="inlineStr">
        <is>
          <t>Expresión de la teoría (texto)</t>
        </is>
      </c>
      <c r="M13" s="5" t="inlineStr">
        <is>
          <t>Dónde se lee en el programa</t>
        </is>
      </c>
      <c r="N13" s="5" t="inlineStr">
        <is>
          <t>Nota</t>
        </is>
      </c>
    </row>
    <row r="14" ht="16" customHeight="1">
      <c r="A14" s="17" t="n">
        <v>1</v>
      </c>
      <c r="B14" s="8" t="inlineStr">
        <is>
          <t>Flecha del extremo</t>
        </is>
      </c>
      <c r="C14" s="17" t="inlineStr">
        <is>
          <t>mm</t>
        </is>
      </c>
      <c r="D14" s="26">
        <f>-$D$9*1000*$D$8^3/(3*$D$7*$D$10)</f>
        <v/>
      </c>
      <c r="E14" s="25" t="n">
        <v>-20.10422026822042</v>
      </c>
      <c r="F14" s="27">
        <f>E14-D14</f>
        <v/>
      </c>
      <c r="G14" s="28">
        <f>IF(ABS(D14)&gt;0.000000000001,F14/D14,"—")</f>
        <v/>
      </c>
      <c r="H14" s="29" t="n">
        <v>0.0001</v>
      </c>
      <c r="I14" s="30" t="n">
        <v>1e-06</v>
      </c>
      <c r="J14" s="31">
        <f>IF(ABS(F14)&lt;=MAX(H14*ABS(D14),I14),"OK","NO")</f>
        <v/>
      </c>
      <c r="K14" s="17" t="inlineStr">
        <is>
          <t>Fórmula</t>
        </is>
      </c>
      <c r="L14" s="9" t="inlineStr">
        <is>
          <t>-P*1000*L^3/(3*E*I)</t>
        </is>
      </c>
      <c r="M14" s="9" t="inlineStr">
        <is>
          <t>Desplazamiento Uz del nudo 2 · combinación «C1: 1,0·D»</t>
        </is>
      </c>
      <c r="N14" s="9" t="inlineStr"/>
    </row>
    <row r="15" ht="16" customHeight="1">
      <c r="A15" s="17" t="n">
        <v>2</v>
      </c>
      <c r="B15" s="8" t="inlineStr">
        <is>
          <t>Giro del extremo</t>
        </is>
      </c>
      <c r="C15" s="17" t="inlineStr">
        <is>
          <t>rad</t>
        </is>
      </c>
      <c r="D15" s="36">
        <f>ABS($D$9*1000*$D$8^2/(2*$D$7*$D$10))</f>
        <v/>
      </c>
      <c r="E15" s="37" t="n">
        <v>0.01206253215899219</v>
      </c>
      <c r="F15" s="27">
        <f>E15-D15</f>
        <v/>
      </c>
      <c r="G15" s="28">
        <f>IF(ABS(D15)&gt;0.000000000001,F15/D15,"—")</f>
        <v/>
      </c>
      <c r="H15" s="29" t="n">
        <v>0.0001</v>
      </c>
      <c r="I15" s="30" t="n">
        <v>1e-06</v>
      </c>
      <c r="J15" s="31">
        <f>IF(ABS(F15)&lt;=MAX(H15*ABS(D15),I15),"OK","NO")</f>
        <v/>
      </c>
      <c r="K15" s="17" t="inlineStr">
        <is>
          <t>Fórmula</t>
        </is>
      </c>
      <c r="L15" s="9" t="inlineStr">
        <is>
          <t>P*1000*L^2/(2*E*I)</t>
        </is>
      </c>
      <c r="M15" s="9" t="inlineStr">
        <is>
          <t>Desplazamiento Ry del nudo 2 · combinación «C1: 1,0·D»</t>
        </is>
      </c>
      <c r="N15" s="9" t="inlineStr">
        <is>
          <t>Se comparan valores absolutos (la convención de signo es independiente del resultado).</t>
        </is>
      </c>
    </row>
    <row r="16" ht="28" customHeight="1">
      <c r="A16" s="17" t="n">
        <v>3</v>
      </c>
      <c r="B16" s="8" t="inlineStr">
        <is>
          <t>Flecha a media luz</t>
        </is>
      </c>
      <c r="C16" s="17" t="inlineStr">
        <is>
          <t>mm</t>
        </is>
      </c>
      <c r="D16" s="26">
        <f>-$D$9*1000*($D$8/2)^2*(3*$D$8-$D$8/2)/(6*$D$7*$D$10)</f>
        <v/>
      </c>
      <c r="E16" s="25" t="n">
        <v>-6.282568834425152</v>
      </c>
      <c r="F16" s="27">
        <f>E16-D16</f>
        <v/>
      </c>
      <c r="G16" s="28">
        <f>IF(ABS(D16)&gt;0.000000000001,F16/D16,"—")</f>
        <v/>
      </c>
      <c r="H16" s="29" t="n">
        <v>0.0001</v>
      </c>
      <c r="I16" s="30" t="n">
        <v>1e-06</v>
      </c>
      <c r="J16" s="31">
        <f>IF(ABS(F16)&lt;=MAX(H16*ABS(D16),I16),"OK","NO")</f>
        <v/>
      </c>
      <c r="K16" s="17" t="inlineStr">
        <is>
          <t>Fórmula</t>
        </is>
      </c>
      <c r="L16" s="9" t="inlineStr">
        <is>
          <t>-P*1000*(L/2)^2*(3*L-L/2)/(6*E*I)</t>
        </is>
      </c>
      <c r="M16" s="9" t="inlineStr">
        <is>
          <t>Barra 1, en x = 0.5·L, flecha vy (plano del alma) · combinación «C1: 1,0·D»</t>
        </is>
      </c>
      <c r="N16" s="9" t="inlineStr"/>
    </row>
    <row r="17" ht="16" customHeight="1">
      <c r="A17" s="17" t="n">
        <v>4</v>
      </c>
      <c r="B17" s="8" t="inlineStr">
        <is>
          <t>Reacción vertical</t>
        </is>
      </c>
      <c r="C17" s="17" t="inlineStr">
        <is>
          <t>kN</t>
        </is>
      </c>
      <c r="D17" s="26">
        <f>$D$9</f>
        <v/>
      </c>
      <c r="E17" s="25" t="n">
        <v>15</v>
      </c>
      <c r="F17" s="27">
        <f>E17-D17</f>
        <v/>
      </c>
      <c r="G17" s="28">
        <f>IF(ABS(D17)&gt;0.000000000001,F17/D17,"—")</f>
        <v/>
      </c>
      <c r="H17" s="29" t="n">
        <v>0.0001</v>
      </c>
      <c r="I17" s="30" t="n">
        <v>1e-06</v>
      </c>
      <c r="J17" s="31">
        <f>IF(ABS(F17)&lt;=MAX(H17*ABS(D17),I17),"OK","NO")</f>
        <v/>
      </c>
      <c r="K17" s="17" t="inlineStr">
        <is>
          <t>Fórmula</t>
        </is>
      </c>
      <c r="L17" s="9" t="inlineStr">
        <is>
          <t>P</t>
        </is>
      </c>
      <c r="M17" s="9" t="inlineStr">
        <is>
          <t>Reacción Fz en el nudo 1 · combinación «C1: 1,0·D»</t>
        </is>
      </c>
      <c r="N17" s="9" t="inlineStr"/>
    </row>
    <row r="18" ht="16" customHeight="1">
      <c r="A18" s="17" t="n">
        <v>5</v>
      </c>
      <c r="B18" s="8" t="inlineStr">
        <is>
          <t>Momento de empotramiento</t>
        </is>
      </c>
      <c r="C18" s="17" t="inlineStr">
        <is>
          <t>kN·m</t>
        </is>
      </c>
      <c r="D18" s="26">
        <f>ABS($D$9*$D$8/1000)</f>
        <v/>
      </c>
      <c r="E18" s="25" t="n">
        <v>37.49999998793747</v>
      </c>
      <c r="F18" s="27">
        <f>E18-D18</f>
        <v/>
      </c>
      <c r="G18" s="28">
        <f>IF(ABS(D18)&gt;0.000000000001,F18/D18,"—")</f>
        <v/>
      </c>
      <c r="H18" s="29" t="n">
        <v>0.0001</v>
      </c>
      <c r="I18" s="30" t="n">
        <v>1e-06</v>
      </c>
      <c r="J18" s="31">
        <f>IF(ABS(F18)&lt;=MAX(H18*ABS(D18),I18),"OK","NO")</f>
        <v/>
      </c>
      <c r="K18" s="17" t="inlineStr">
        <is>
          <t>Fórmula</t>
        </is>
      </c>
      <c r="L18" s="9" t="inlineStr">
        <is>
          <t>P*L/1000</t>
        </is>
      </c>
      <c r="M18" s="9" t="inlineStr">
        <is>
          <t>Reacción My en el nudo 1 · combinación «C1: 1,0·D»</t>
        </is>
      </c>
      <c r="N18" s="9" t="inlineStr">
        <is>
          <t>Se comparan valores absolutos (la convención de signo es independiente del resultado).</t>
        </is>
      </c>
    </row>
    <row r="19" ht="28" customHeight="1">
      <c r="A19" s="17" t="n">
        <v>6</v>
      </c>
      <c r="B19" s="8" t="inlineStr">
        <is>
          <t>Corte constante</t>
        </is>
      </c>
      <c r="C19" s="17" t="inlineStr">
        <is>
          <t>kN</t>
        </is>
      </c>
      <c r="D19" s="26">
        <f>ABS($D$9)</f>
        <v/>
      </c>
      <c r="E19" s="25" t="n">
        <v>15</v>
      </c>
      <c r="F19" s="27">
        <f>E19-D19</f>
        <v/>
      </c>
      <c r="G19" s="28">
        <f>IF(ABS(D19)&gt;0.000000000001,F19/D19,"—")</f>
        <v/>
      </c>
      <c r="H19" s="29" t="n">
        <v>0.0001</v>
      </c>
      <c r="I19" s="30" t="n">
        <v>1e-06</v>
      </c>
      <c r="J19" s="31">
        <f>IF(ABS(F19)&lt;=MAX(H19*ABS(D19),I19),"OK","NO")</f>
        <v/>
      </c>
      <c r="K19" s="17" t="inlineStr">
        <is>
          <t>Fórmula</t>
        </is>
      </c>
      <c r="L19" s="9" t="inlineStr">
        <is>
          <t>P</t>
        </is>
      </c>
      <c r="M19" s="9" t="inlineStr">
        <is>
          <t>Barra 1, en x = 0.5·L, corte Vy (en el plano del alma) · combinación «C1: 1,0·D»</t>
        </is>
      </c>
      <c r="N19" s="9" t="inlineStr">
        <is>
          <t>Se comparan valores absolutos (la convención de signo es independiente del resultado).</t>
        </is>
      </c>
    </row>
    <row r="20" ht="28" customHeight="1">
      <c r="A20" s="17" t="n">
        <v>7</v>
      </c>
      <c r="B20" s="8" t="inlineStr">
        <is>
          <t>Momento a media luz</t>
        </is>
      </c>
      <c r="C20" s="17" t="inlineStr">
        <is>
          <t>kN·m</t>
        </is>
      </c>
      <c r="D20" s="26">
        <f>ABS($D$9*($D$8/2)/1000)</f>
        <v/>
      </c>
      <c r="E20" s="25" t="n">
        <v>18.74999998793745</v>
      </c>
      <c r="F20" s="27">
        <f>E20-D20</f>
        <v/>
      </c>
      <c r="G20" s="28">
        <f>IF(ABS(D20)&gt;0.000000000001,F20/D20,"—")</f>
        <v/>
      </c>
      <c r="H20" s="29" t="n">
        <v>0.0001</v>
      </c>
      <c r="I20" s="30" t="n">
        <v>1e-06</v>
      </c>
      <c r="J20" s="31">
        <f>IF(ABS(F20)&lt;=MAX(H20*ABS(D20),I20),"OK","NO")</f>
        <v/>
      </c>
      <c r="K20" s="17" t="inlineStr">
        <is>
          <t>Fórmula</t>
        </is>
      </c>
      <c r="L20" s="9" t="inlineStr">
        <is>
          <t>P*(L/2)/1000</t>
        </is>
      </c>
      <c r="M20" s="9" t="inlineStr">
        <is>
          <t>Barra 1, en x = 0.5·L, momento flector Mz (eje fuerte) · combinación «C1: 1,0·D»</t>
        </is>
      </c>
      <c r="N20" s="9" t="inlineStr">
        <is>
          <t>Se comparan valores absolutos (la convención de signo es independiente del resultado).</t>
        </is>
      </c>
    </row>
    <row r="21" ht="28" customHeight="1">
      <c r="A21" s="17" t="n">
        <v>8</v>
      </c>
      <c r="B21" s="8" t="inlineStr">
        <is>
          <t>Esfuerzo axil</t>
        </is>
      </c>
      <c r="C21" s="17" t="inlineStr">
        <is>
          <t>kN</t>
        </is>
      </c>
      <c r="D21" s="36">
        <f>0</f>
        <v/>
      </c>
      <c r="E21" s="37" t="n">
        <v>0</v>
      </c>
      <c r="F21" s="27">
        <f>E21-D21</f>
        <v/>
      </c>
      <c r="G21" s="28">
        <f>IF(ABS(D21)&gt;0.000000000001,F21/D21,"—")</f>
        <v/>
      </c>
      <c r="H21" s="29" t="n">
        <v>0.0001</v>
      </c>
      <c r="I21" s="30" t="n">
        <v>1e-06</v>
      </c>
      <c r="J21" s="31">
        <f>IF(ABS(F21)&lt;=MAX(H21*ABS(D21),I21),"OK","NO")</f>
        <v/>
      </c>
      <c r="K21" s="17" t="inlineStr">
        <is>
          <t>Fórmula</t>
        </is>
      </c>
      <c r="L21" s="9" t="inlineStr">
        <is>
          <t>0</t>
        </is>
      </c>
      <c r="M21" s="9" t="inlineStr">
        <is>
          <t>Barra 1, en x = 0.5·L, esfuerzo axil N (tracción +) · combinación «C1: 1,0·D»</t>
        </is>
      </c>
      <c r="N21" s="9" t="inlineStr"/>
    </row>
    <row r="23">
      <c r="B23" s="4" t="inlineStr">
        <is>
          <t>Comprobaciones dentro de tolerancia</t>
        </is>
      </c>
      <c r="D23" s="4">
        <f>COUNTIF(J14:J21,"OK")</f>
        <v/>
      </c>
      <c r="E23" s="4">
        <f>ROWS(J14:J21)</f>
        <v/>
      </c>
      <c r="F23" s="4">
        <f>IF(D23=E23,"VERIFICA","DIFIERE")</f>
        <v/>
      </c>
    </row>
    <row r="24">
      <c r="B24" s="2" t="inlineStr">
        <is>
          <t>Azul = dato ingresado o valor que entregó el programa (pegado); negro = fórmula de Excel. El valor «Programa» es el resultado del motor de cálculo de la app para el mismo modelo.</t>
        </is>
      </c>
    </row>
  </sheetData>
  <mergeCells count="1">
    <mergeCell ref="A3:L3"/>
  </mergeCells>
  <conditionalFormatting sqref="J14:J21">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N22"/>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C03 · Voladizo con carga uniforme</t>
        </is>
      </c>
    </row>
    <row r="2">
      <c r="A2" s="2" t="inlineStr">
        <is>
          <t>Solución clásica.  Fuente: Soluciones clásicas de resistencia de materiales y análisis estructural (tablas de vigas, método de pendiente-deflexión, método de los nudos, castigliano)</t>
        </is>
      </c>
    </row>
    <row r="3" ht="30" customHeight="1">
      <c r="A3" s="14" t="inlineStr">
        <is>
          <t>Enunciado. Voladizo UPN 200 de 3,00 m con carga permanente de 8 kN/m. Flecha y giro del extremo, flecha a media luz, reacciones y momento de empotramiento.</t>
        </is>
      </c>
    </row>
    <row r="5">
      <c r="A5" s="22" t="inlineStr">
        <is>
          <t>DATOS DEL EJERCICIO</t>
        </is>
      </c>
      <c r="B5" s="22" t="n"/>
      <c r="C5" s="22" t="n"/>
      <c r="D5" s="22" t="n"/>
      <c r="E5" s="22" t="n"/>
      <c r="F5" s="22" t="n"/>
      <c r="G5" s="22" t="n"/>
      <c r="H5" s="22" t="n"/>
      <c r="I5" s="22" t="n"/>
      <c r="J5" s="22" t="n"/>
      <c r="K5" s="22" t="n"/>
      <c r="L5" s="22" t="n"/>
      <c r="M5" s="22" t="n"/>
      <c r="N5" s="22" t="n"/>
    </row>
    <row r="6">
      <c r="A6" s="5" t="inlineStr">
        <is>
          <t>#</t>
        </is>
      </c>
      <c r="B6" s="5" t="inlineStr">
        <is>
          <t>Dato</t>
        </is>
      </c>
      <c r="C6" s="5" t="inlineStr">
        <is>
          <t>Unidad</t>
        </is>
      </c>
      <c r="D6" s="5" t="inlineStr">
        <is>
          <t>Valor</t>
        </is>
      </c>
      <c r="K6" s="5" t="inlineStr">
        <is>
          <t>Símbolo</t>
        </is>
      </c>
      <c r="L6" s="5" t="inlineStr">
        <is>
          <t>Fórmula (texto)</t>
        </is>
      </c>
    </row>
    <row r="7">
      <c r="A7" s="17" t="n">
        <v>1</v>
      </c>
      <c r="B7" s="8" t="inlineStr">
        <is>
          <t>Módulo elástico</t>
        </is>
      </c>
      <c r="C7" s="17" t="inlineStr">
        <is>
          <t>MPa</t>
        </is>
      </c>
      <c r="D7" s="23" t="n">
        <v>200000</v>
      </c>
      <c r="K7" s="17" t="inlineStr">
        <is>
          <t>E</t>
        </is>
      </c>
      <c r="L7" s="24" t="inlineStr">
        <is>
          <t>dato ingresado</t>
        </is>
      </c>
    </row>
    <row r="8">
      <c r="A8" s="17" t="n">
        <v>2</v>
      </c>
      <c r="B8" s="8" t="inlineStr">
        <is>
          <t>Largo</t>
        </is>
      </c>
      <c r="C8" s="17" t="inlineStr">
        <is>
          <t>mm</t>
        </is>
      </c>
      <c r="D8" s="23" t="n">
        <v>3000</v>
      </c>
      <c r="K8" s="17" t="inlineStr">
        <is>
          <t>L</t>
        </is>
      </c>
      <c r="L8" s="24" t="inlineStr">
        <is>
          <t>dato ingresado</t>
        </is>
      </c>
    </row>
    <row r="9">
      <c r="A9" s="17" t="n">
        <v>3</v>
      </c>
      <c r="B9" s="8" t="inlineStr">
        <is>
          <t>Carga uniforme</t>
        </is>
      </c>
      <c r="C9" s="17" t="inlineStr">
        <is>
          <t>kN/m</t>
        </is>
      </c>
      <c r="D9" s="25" t="n">
        <v>8</v>
      </c>
      <c r="K9" s="17" t="inlineStr">
        <is>
          <t>q</t>
        </is>
      </c>
      <c r="L9" s="24" t="inlineStr">
        <is>
          <t>dato ingresado</t>
        </is>
      </c>
    </row>
    <row r="10">
      <c r="A10" s="17" t="n">
        <v>4</v>
      </c>
      <c r="B10" s="8" t="inlineStr">
        <is>
          <t>Ix UPN 200 (tabla: 1910 cm⁴)</t>
        </is>
      </c>
      <c r="C10" s="17" t="inlineStr">
        <is>
          <t>mm⁴</t>
        </is>
      </c>
      <c r="D10" s="35" t="n">
        <v>19100000</v>
      </c>
      <c r="K10" s="17" t="inlineStr">
        <is>
          <t>I</t>
        </is>
      </c>
      <c r="L10" s="24" t="inlineStr">
        <is>
          <t>dato ingresado</t>
        </is>
      </c>
    </row>
    <row r="12">
      <c r="A12" s="22" t="inlineStr">
        <is>
          <t>COMPARACIÓN: TEORÍA / DATO PUBLICADO  vs  PROGRAMA (Atlas Estructuras 3D)</t>
        </is>
      </c>
      <c r="B12" s="22" t="n"/>
      <c r="C12" s="22" t="n"/>
      <c r="D12" s="22" t="n"/>
      <c r="E12" s="22" t="n"/>
      <c r="F12" s="22" t="n"/>
      <c r="G12" s="22" t="n"/>
      <c r="H12" s="22" t="n"/>
      <c r="I12" s="22" t="n"/>
      <c r="J12" s="22" t="n"/>
      <c r="K12" s="22" t="n"/>
      <c r="L12" s="22" t="n"/>
      <c r="M12" s="22" t="n"/>
      <c r="N12" s="22" t="n"/>
    </row>
    <row r="13" ht="30" customHeight="1">
      <c r="A13" s="5" t="inlineStr">
        <is>
          <t>#</t>
        </is>
      </c>
      <c r="B13" s="5" t="inlineStr">
        <is>
          <t>Comprobación</t>
        </is>
      </c>
      <c r="C13" s="5" t="inlineStr">
        <is>
          <t>Unidad</t>
        </is>
      </c>
      <c r="D13" s="5" t="inlineStr">
        <is>
          <t>Teoría / publicado</t>
        </is>
      </c>
      <c r="E13" s="5" t="inlineStr">
        <is>
          <t>Programa</t>
        </is>
      </c>
      <c r="F13" s="5" t="inlineStr">
        <is>
          <t>Diferencia (prog. − teoría)</t>
        </is>
      </c>
      <c r="G13" s="5" t="inlineStr">
        <is>
          <t>Error relativo</t>
        </is>
      </c>
      <c r="H13" s="5" t="inlineStr">
        <is>
          <t>Tol. relativa</t>
        </is>
      </c>
      <c r="I13" s="5" t="inlineStr">
        <is>
          <t>Tol. absoluta</t>
        </is>
      </c>
      <c r="J13" s="5" t="inlineStr">
        <is>
          <t>Estado</t>
        </is>
      </c>
      <c r="K13" s="5" t="inlineStr">
        <is>
          <t>Origen</t>
        </is>
      </c>
      <c r="L13" s="5" t="inlineStr">
        <is>
          <t>Expresión de la teoría (texto)</t>
        </is>
      </c>
      <c r="M13" s="5" t="inlineStr">
        <is>
          <t>Dónde se lee en el programa</t>
        </is>
      </c>
      <c r="N13" s="5" t="inlineStr">
        <is>
          <t>Nota</t>
        </is>
      </c>
    </row>
    <row r="14" ht="16" customHeight="1">
      <c r="A14" s="17" t="n">
        <v>1</v>
      </c>
      <c r="B14" s="8" t="inlineStr">
        <is>
          <t>Flecha del extremo</t>
        </is>
      </c>
      <c r="C14" s="17" t="inlineStr">
        <is>
          <t>mm</t>
        </is>
      </c>
      <c r="D14" s="26">
        <f>-$D$9*$D$8^4/(8*$D$7*$D$10)</f>
        <v/>
      </c>
      <c r="E14" s="25" t="n">
        <v>-21.20418847057373</v>
      </c>
      <c r="F14" s="27">
        <f>E14-D14</f>
        <v/>
      </c>
      <c r="G14" s="28">
        <f>IF(ABS(D14)&gt;0.000000000001,F14/D14,"—")</f>
        <v/>
      </c>
      <c r="H14" s="29" t="n">
        <v>0.0001</v>
      </c>
      <c r="I14" s="30" t="n">
        <v>1e-06</v>
      </c>
      <c r="J14" s="31">
        <f>IF(ABS(F14)&lt;=MAX(H14*ABS(D14),I14),"OK","NO")</f>
        <v/>
      </c>
      <c r="K14" s="17" t="inlineStr">
        <is>
          <t>Fórmula</t>
        </is>
      </c>
      <c r="L14" s="9" t="inlineStr">
        <is>
          <t>-q*L^4/(8*E*I)</t>
        </is>
      </c>
      <c r="M14" s="9" t="inlineStr">
        <is>
          <t>Desplazamiento Uz del nudo 2 · combinación «C1: 1,0·D»</t>
        </is>
      </c>
      <c r="N14" s="9" t="inlineStr"/>
    </row>
    <row r="15" ht="16" customHeight="1">
      <c r="A15" s="17" t="n">
        <v>2</v>
      </c>
      <c r="B15" s="8" t="inlineStr">
        <is>
          <t>Giro del extremo</t>
        </is>
      </c>
      <c r="C15" s="17" t="inlineStr">
        <is>
          <t>rad</t>
        </is>
      </c>
      <c r="D15" s="33">
        <f>ABS($D$9*$D$8^3/(6*$D$7*$D$10))</f>
        <v/>
      </c>
      <c r="E15" s="34" t="n">
        <v>0.009424083762232392</v>
      </c>
      <c r="F15" s="27">
        <f>E15-D15</f>
        <v/>
      </c>
      <c r="G15" s="28">
        <f>IF(ABS(D15)&gt;0.000000000001,F15/D15,"—")</f>
        <v/>
      </c>
      <c r="H15" s="29" t="n">
        <v>0.0001</v>
      </c>
      <c r="I15" s="30" t="n">
        <v>1e-06</v>
      </c>
      <c r="J15" s="31">
        <f>IF(ABS(F15)&lt;=MAX(H15*ABS(D15),I15),"OK","NO")</f>
        <v/>
      </c>
      <c r="K15" s="17" t="inlineStr">
        <is>
          <t>Fórmula</t>
        </is>
      </c>
      <c r="L15" s="9" t="inlineStr">
        <is>
          <t>q*L^3/(6*E*I)</t>
        </is>
      </c>
      <c r="M15" s="9" t="inlineStr">
        <is>
          <t>Desplazamiento Ry del nudo 2 · combinación «C1: 1,0·D»</t>
        </is>
      </c>
      <c r="N15" s="9" t="inlineStr">
        <is>
          <t>Se comparan valores absolutos (la convención de signo es independiente del resultado).</t>
        </is>
      </c>
    </row>
    <row r="16" ht="28" customHeight="1">
      <c r="A16" s="17" t="n">
        <v>3</v>
      </c>
      <c r="B16" s="8" t="inlineStr">
        <is>
          <t>Flecha a media luz</t>
        </is>
      </c>
      <c r="C16" s="17" t="inlineStr">
        <is>
          <t>mm</t>
        </is>
      </c>
      <c r="D16" s="26">
        <f>-$D$9*($D$8/2)^2*(6*$D$8^2-4*$D$8*($D$8/2)+($D$8/2)^2)/(24*$D$7*$D$10)</f>
        <v/>
      </c>
      <c r="E16" s="25" t="n">
        <v>-7.509816751151287</v>
      </c>
      <c r="F16" s="27">
        <f>E16-D16</f>
        <v/>
      </c>
      <c r="G16" s="28">
        <f>IF(ABS(D16)&gt;0.000000000001,F16/D16,"—")</f>
        <v/>
      </c>
      <c r="H16" s="29" t="n">
        <v>0.0001</v>
      </c>
      <c r="I16" s="30" t="n">
        <v>1e-06</v>
      </c>
      <c r="J16" s="31">
        <f>IF(ABS(F16)&lt;=MAX(H16*ABS(D16),I16),"OK","NO")</f>
        <v/>
      </c>
      <c r="K16" s="17" t="inlineStr">
        <is>
          <t>Fórmula</t>
        </is>
      </c>
      <c r="L16" s="9" t="inlineStr">
        <is>
          <t>-q*(L/2)^2*(6*L^2-4*L*(L/2)+(L/2)^2)/(24*E*I)</t>
        </is>
      </c>
      <c r="M16" s="9" t="inlineStr">
        <is>
          <t>Barra 1, en x = 0.5·L, flecha vy (plano del alma) · combinación «C1: 1,0·D»</t>
        </is>
      </c>
      <c r="N16" s="9" t="inlineStr"/>
    </row>
    <row r="17" ht="16" customHeight="1">
      <c r="A17" s="17" t="n">
        <v>4</v>
      </c>
      <c r="B17" s="8" t="inlineStr">
        <is>
          <t>Reacción vertical</t>
        </is>
      </c>
      <c r="C17" s="17" t="inlineStr">
        <is>
          <t>kN</t>
        </is>
      </c>
      <c r="D17" s="26">
        <f>$D$9*$D$8/1000</f>
        <v/>
      </c>
      <c r="E17" s="25" t="n">
        <v>24.00000000000001</v>
      </c>
      <c r="F17" s="27">
        <f>E17-D17</f>
        <v/>
      </c>
      <c r="G17" s="28">
        <f>IF(ABS(D17)&gt;0.000000000001,F17/D17,"—")</f>
        <v/>
      </c>
      <c r="H17" s="29" t="n">
        <v>0.0001</v>
      </c>
      <c r="I17" s="30" t="n">
        <v>1e-06</v>
      </c>
      <c r="J17" s="31">
        <f>IF(ABS(F17)&lt;=MAX(H17*ABS(D17),I17),"OK","NO")</f>
        <v/>
      </c>
      <c r="K17" s="17" t="inlineStr">
        <is>
          <t>Fórmula</t>
        </is>
      </c>
      <c r="L17" s="9" t="inlineStr">
        <is>
          <t>q*L/1000</t>
        </is>
      </c>
      <c r="M17" s="9" t="inlineStr">
        <is>
          <t>Reacción Fz en el nudo 1 · combinación «C1: 1,0·D»</t>
        </is>
      </c>
      <c r="N17" s="9" t="inlineStr"/>
    </row>
    <row r="18" ht="16" customHeight="1">
      <c r="A18" s="17" t="n">
        <v>5</v>
      </c>
      <c r="B18" s="8" t="inlineStr">
        <is>
          <t>Momento de empotramiento</t>
        </is>
      </c>
      <c r="C18" s="17" t="inlineStr">
        <is>
          <t>kN·m</t>
        </is>
      </c>
      <c r="D18" s="26">
        <f>ABS($D$9*$D$8^2/2/1000000)</f>
        <v/>
      </c>
      <c r="E18" s="25" t="n">
        <v>35.99999999057593</v>
      </c>
      <c r="F18" s="27">
        <f>E18-D18</f>
        <v/>
      </c>
      <c r="G18" s="28">
        <f>IF(ABS(D18)&gt;0.000000000001,F18/D18,"—")</f>
        <v/>
      </c>
      <c r="H18" s="29" t="n">
        <v>0.0001</v>
      </c>
      <c r="I18" s="30" t="n">
        <v>1e-06</v>
      </c>
      <c r="J18" s="31">
        <f>IF(ABS(F18)&lt;=MAX(H18*ABS(D18),I18),"OK","NO")</f>
        <v/>
      </c>
      <c r="K18" s="17" t="inlineStr">
        <is>
          <t>Fórmula</t>
        </is>
      </c>
      <c r="L18" s="9" t="inlineStr">
        <is>
          <t>q*L^2/2/1000000</t>
        </is>
      </c>
      <c r="M18" s="9" t="inlineStr">
        <is>
          <t>Reacción My en el nudo 1 · combinación «C1: 1,0·D»</t>
        </is>
      </c>
      <c r="N18" s="9" t="inlineStr">
        <is>
          <t>Se comparan valores absolutos (la convención de signo es independiente del resultado).</t>
        </is>
      </c>
    </row>
    <row r="19" ht="28" customHeight="1">
      <c r="A19" s="17" t="n">
        <v>6</v>
      </c>
      <c r="B19" s="8" t="inlineStr">
        <is>
          <t>Momento a media luz</t>
        </is>
      </c>
      <c r="C19" s="17" t="inlineStr">
        <is>
          <t>kN·m</t>
        </is>
      </c>
      <c r="D19" s="26">
        <f>ABS($D$9*($D$8/2)^2/2/1000000)</f>
        <v/>
      </c>
      <c r="E19" s="25" t="n">
        <v>8.999999990575917</v>
      </c>
      <c r="F19" s="27">
        <f>E19-D19</f>
        <v/>
      </c>
      <c r="G19" s="28">
        <f>IF(ABS(D19)&gt;0.000000000001,F19/D19,"—")</f>
        <v/>
      </c>
      <c r="H19" s="29" t="n">
        <v>0.0001</v>
      </c>
      <c r="I19" s="30" t="n">
        <v>1e-06</v>
      </c>
      <c r="J19" s="31">
        <f>IF(ABS(F19)&lt;=MAX(H19*ABS(D19),I19),"OK","NO")</f>
        <v/>
      </c>
      <c r="K19" s="17" t="inlineStr">
        <is>
          <t>Fórmula</t>
        </is>
      </c>
      <c r="L19" s="9" t="inlineStr">
        <is>
          <t>q*(L/2)^2/2/1000000</t>
        </is>
      </c>
      <c r="M19" s="9" t="inlineStr">
        <is>
          <t>Barra 1, en x = 0.5·L, momento flector Mz (eje fuerte) · combinación «C1: 1,0·D»</t>
        </is>
      </c>
      <c r="N19" s="9" t="inlineStr">
        <is>
          <t>Se comparan valores absolutos (la convención de signo es independiente del resultado).</t>
        </is>
      </c>
    </row>
    <row r="21">
      <c r="B21" s="4" t="inlineStr">
        <is>
          <t>Comprobaciones dentro de tolerancia</t>
        </is>
      </c>
      <c r="D21" s="4">
        <f>COUNTIF(J14:J19,"OK")</f>
        <v/>
      </c>
      <c r="E21" s="4">
        <f>ROWS(J14:J19)</f>
        <v/>
      </c>
      <c r="F21" s="4">
        <f>IF(D21=E21,"VERIFICA","DIFIERE")</f>
        <v/>
      </c>
    </row>
    <row r="22">
      <c r="B22" s="2" t="inlineStr">
        <is>
          <t>Azul = dato ingresado o valor que entregó el programa (pegado); negro = fórmula de Excel. El valor «Programa» es el resultado del motor de cálculo de la app para el mismo modelo.</t>
        </is>
      </c>
    </row>
  </sheetData>
  <mergeCells count="1">
    <mergeCell ref="A3:L3"/>
  </mergeCells>
  <conditionalFormatting sqref="J14:J19">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A1:N22"/>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C04 · Viga biempotrada con carga uniforme</t>
        </is>
      </c>
    </row>
    <row r="2">
      <c r="A2" s="2" t="inlineStr">
        <is>
          <t>Solución clásica.  Fuente: Soluciones clásicas de resistencia de materiales y análisis estructural (tablas de vigas, método de pendiente-deflexión, método de los nudos, castigliano)</t>
        </is>
      </c>
    </row>
    <row r="3" ht="30" customHeight="1">
      <c r="A3" s="14" t="inlineStr">
        <is>
          <t>Enunciado. Viga IPE 240 de 5,00 m empotrada en ambos extremos con 12 kN/m. Momentos de empotramiento perfecto qL²/12, momento central qL²/24 y flecha qL⁴/(384EI).</t>
        </is>
      </c>
    </row>
    <row r="5">
      <c r="A5" s="22" t="inlineStr">
        <is>
          <t>DATOS DEL EJERCICIO</t>
        </is>
      </c>
      <c r="B5" s="22" t="n"/>
      <c r="C5" s="22" t="n"/>
      <c r="D5" s="22" t="n"/>
      <c r="E5" s="22" t="n"/>
      <c r="F5" s="22" t="n"/>
      <c r="G5" s="22" t="n"/>
      <c r="H5" s="22" t="n"/>
      <c r="I5" s="22" t="n"/>
      <c r="J5" s="22" t="n"/>
      <c r="K5" s="22" t="n"/>
      <c r="L5" s="22" t="n"/>
      <c r="M5" s="22" t="n"/>
      <c r="N5" s="22" t="n"/>
    </row>
    <row r="6">
      <c r="A6" s="5" t="inlineStr">
        <is>
          <t>#</t>
        </is>
      </c>
      <c r="B6" s="5" t="inlineStr">
        <is>
          <t>Dato</t>
        </is>
      </c>
      <c r="C6" s="5" t="inlineStr">
        <is>
          <t>Unidad</t>
        </is>
      </c>
      <c r="D6" s="5" t="inlineStr">
        <is>
          <t>Valor</t>
        </is>
      </c>
      <c r="K6" s="5" t="inlineStr">
        <is>
          <t>Símbolo</t>
        </is>
      </c>
      <c r="L6" s="5" t="inlineStr">
        <is>
          <t>Fórmula (texto)</t>
        </is>
      </c>
    </row>
    <row r="7">
      <c r="A7" s="17" t="n">
        <v>1</v>
      </c>
      <c r="B7" s="8" t="inlineStr">
        <is>
          <t>Módulo elástico</t>
        </is>
      </c>
      <c r="C7" s="17" t="inlineStr">
        <is>
          <t>MPa</t>
        </is>
      </c>
      <c r="D7" s="23" t="n">
        <v>200000</v>
      </c>
      <c r="K7" s="17" t="inlineStr">
        <is>
          <t>E</t>
        </is>
      </c>
      <c r="L7" s="24" t="inlineStr">
        <is>
          <t>dato ingresado</t>
        </is>
      </c>
    </row>
    <row r="8">
      <c r="A8" s="17" t="n">
        <v>2</v>
      </c>
      <c r="B8" s="8" t="inlineStr">
        <is>
          <t>Luz</t>
        </is>
      </c>
      <c r="C8" s="17" t="inlineStr">
        <is>
          <t>mm</t>
        </is>
      </c>
      <c r="D8" s="23" t="n">
        <v>5000</v>
      </c>
      <c r="K8" s="17" t="inlineStr">
        <is>
          <t>L</t>
        </is>
      </c>
      <c r="L8" s="24" t="inlineStr">
        <is>
          <t>dato ingresado</t>
        </is>
      </c>
    </row>
    <row r="9">
      <c r="A9" s="17" t="n">
        <v>3</v>
      </c>
      <c r="B9" s="8" t="inlineStr">
        <is>
          <t>Carga uniforme</t>
        </is>
      </c>
      <c r="C9" s="17" t="inlineStr">
        <is>
          <t>kN/m</t>
        </is>
      </c>
      <c r="D9" s="25" t="n">
        <v>12</v>
      </c>
      <c r="K9" s="17" t="inlineStr">
        <is>
          <t>q</t>
        </is>
      </c>
      <c r="L9" s="24" t="inlineStr">
        <is>
          <t>dato ingresado</t>
        </is>
      </c>
    </row>
    <row r="10">
      <c r="A10" s="17" t="n">
        <v>4</v>
      </c>
      <c r="B10" s="8" t="inlineStr">
        <is>
          <t>Ix IPE 240 (tabla: 3892 cm⁴)</t>
        </is>
      </c>
      <c r="C10" s="17" t="inlineStr">
        <is>
          <t>mm⁴</t>
        </is>
      </c>
      <c r="D10" s="35" t="n">
        <v>38920000</v>
      </c>
      <c r="K10" s="17" t="inlineStr">
        <is>
          <t>I</t>
        </is>
      </c>
      <c r="L10" s="24" t="inlineStr">
        <is>
          <t>dato ingresado</t>
        </is>
      </c>
    </row>
    <row r="12">
      <c r="A12" s="22" t="inlineStr">
        <is>
          <t>COMPARACIÓN: TEORÍA / DATO PUBLICADO  vs  PROGRAMA (Atlas Estructuras 3D)</t>
        </is>
      </c>
      <c r="B12" s="22" t="n"/>
      <c r="C12" s="22" t="n"/>
      <c r="D12" s="22" t="n"/>
      <c r="E12" s="22" t="n"/>
      <c r="F12" s="22" t="n"/>
      <c r="G12" s="22" t="n"/>
      <c r="H12" s="22" t="n"/>
      <c r="I12" s="22" t="n"/>
      <c r="J12" s="22" t="n"/>
      <c r="K12" s="22" t="n"/>
      <c r="L12" s="22" t="n"/>
      <c r="M12" s="22" t="n"/>
      <c r="N12" s="22" t="n"/>
    </row>
    <row r="13" ht="30" customHeight="1">
      <c r="A13" s="5" t="inlineStr">
        <is>
          <t>#</t>
        </is>
      </c>
      <c r="B13" s="5" t="inlineStr">
        <is>
          <t>Comprobación</t>
        </is>
      </c>
      <c r="C13" s="5" t="inlineStr">
        <is>
          <t>Unidad</t>
        </is>
      </c>
      <c r="D13" s="5" t="inlineStr">
        <is>
          <t>Teoría / publicado</t>
        </is>
      </c>
      <c r="E13" s="5" t="inlineStr">
        <is>
          <t>Programa</t>
        </is>
      </c>
      <c r="F13" s="5" t="inlineStr">
        <is>
          <t>Diferencia (prog. − teoría)</t>
        </is>
      </c>
      <c r="G13" s="5" t="inlineStr">
        <is>
          <t>Error relativo</t>
        </is>
      </c>
      <c r="H13" s="5" t="inlineStr">
        <is>
          <t>Tol. relativa</t>
        </is>
      </c>
      <c r="I13" s="5" t="inlineStr">
        <is>
          <t>Tol. absoluta</t>
        </is>
      </c>
      <c r="J13" s="5" t="inlineStr">
        <is>
          <t>Estado</t>
        </is>
      </c>
      <c r="K13" s="5" t="inlineStr">
        <is>
          <t>Origen</t>
        </is>
      </c>
      <c r="L13" s="5" t="inlineStr">
        <is>
          <t>Expresión de la teoría (texto)</t>
        </is>
      </c>
      <c r="M13" s="5" t="inlineStr">
        <is>
          <t>Dónde se lee en el programa</t>
        </is>
      </c>
      <c r="N13" s="5" t="inlineStr">
        <is>
          <t>Nota</t>
        </is>
      </c>
    </row>
    <row r="14" ht="16" customHeight="1">
      <c r="A14" s="17" t="n">
        <v>1</v>
      </c>
      <c r="B14" s="8" t="inlineStr">
        <is>
          <t>Reacción vertical en cada extremo</t>
        </is>
      </c>
      <c r="C14" s="17" t="inlineStr">
        <is>
          <t>kN</t>
        </is>
      </c>
      <c r="D14" s="26">
        <f>$D$9*$D$8/2000</f>
        <v/>
      </c>
      <c r="E14" s="25" t="n">
        <v>30</v>
      </c>
      <c r="F14" s="27">
        <f>E14-D14</f>
        <v/>
      </c>
      <c r="G14" s="28">
        <f>IF(ABS(D14)&gt;0.000000000001,F14/D14,"—")</f>
        <v/>
      </c>
      <c r="H14" s="29" t="n">
        <v>0.0001</v>
      </c>
      <c r="I14" s="30" t="n">
        <v>1e-06</v>
      </c>
      <c r="J14" s="31">
        <f>IF(ABS(F14)&lt;=MAX(H14*ABS(D14),I14),"OK","NO")</f>
        <v/>
      </c>
      <c r="K14" s="17" t="inlineStr">
        <is>
          <t>Fórmula</t>
        </is>
      </c>
      <c r="L14" s="9" t="inlineStr">
        <is>
          <t>q*L/2000</t>
        </is>
      </c>
      <c r="M14" s="9" t="inlineStr">
        <is>
          <t>Reacción Fz en el nudo 1 · combinación «C1: 1,0·D»</t>
        </is>
      </c>
      <c r="N14" s="9" t="inlineStr"/>
    </row>
    <row r="15" ht="16" customHeight="1">
      <c r="A15" s="17" t="n">
        <v>2</v>
      </c>
      <c r="B15" s="8" t="inlineStr">
        <is>
          <t>Momento de empotramiento</t>
        </is>
      </c>
      <c r="C15" s="17" t="inlineStr">
        <is>
          <t>kN·m</t>
        </is>
      </c>
      <c r="D15" s="26">
        <f>ABS($D$9*$D$8^2/12/1000000)</f>
        <v/>
      </c>
      <c r="E15" s="25" t="n">
        <v>25</v>
      </c>
      <c r="F15" s="27">
        <f>E15-D15</f>
        <v/>
      </c>
      <c r="G15" s="28">
        <f>IF(ABS(D15)&gt;0.000000000001,F15/D15,"—")</f>
        <v/>
      </c>
      <c r="H15" s="29" t="n">
        <v>0.0001</v>
      </c>
      <c r="I15" s="30" t="n">
        <v>1e-06</v>
      </c>
      <c r="J15" s="31">
        <f>IF(ABS(F15)&lt;=MAX(H15*ABS(D15),I15),"OK","NO")</f>
        <v/>
      </c>
      <c r="K15" s="17" t="inlineStr">
        <is>
          <t>Fórmula</t>
        </is>
      </c>
      <c r="L15" s="9" t="inlineStr">
        <is>
          <t>q*L^2/12/1000000</t>
        </is>
      </c>
      <c r="M15" s="9" t="inlineStr">
        <is>
          <t>Reacción My en el nudo 1 · combinación «C1: 1,0·D»</t>
        </is>
      </c>
      <c r="N15" s="9" t="inlineStr">
        <is>
          <t>Se comparan valores absolutos (la convención de signo es independiente del resultado).</t>
        </is>
      </c>
    </row>
    <row r="16" ht="28" customHeight="1">
      <c r="A16" s="17" t="n">
        <v>3</v>
      </c>
      <c r="B16" s="8" t="inlineStr">
        <is>
          <t>Momento de empotramiento (diagrama de la barra)</t>
        </is>
      </c>
      <c r="C16" s="17" t="inlineStr">
        <is>
          <t>kN·m</t>
        </is>
      </c>
      <c r="D16" s="26">
        <f>ABS($D$9*$D$8^2/12/1000000)</f>
        <v/>
      </c>
      <c r="E16" s="25" t="n">
        <v>25</v>
      </c>
      <c r="F16" s="27">
        <f>E16-D16</f>
        <v/>
      </c>
      <c r="G16" s="28">
        <f>IF(ABS(D16)&gt;0.000000000001,F16/D16,"—")</f>
        <v/>
      </c>
      <c r="H16" s="29" t="n">
        <v>0.0001</v>
      </c>
      <c r="I16" s="30" t="n">
        <v>1e-06</v>
      </c>
      <c r="J16" s="31">
        <f>IF(ABS(F16)&lt;=MAX(H16*ABS(D16),I16),"OK","NO")</f>
        <v/>
      </c>
      <c r="K16" s="17" t="inlineStr">
        <is>
          <t>Fórmula</t>
        </is>
      </c>
      <c r="L16" s="9" t="inlineStr">
        <is>
          <t>q*L^2/12/1000000</t>
        </is>
      </c>
      <c r="M16" s="9" t="inlineStr">
        <is>
          <t>Barra 1, en x = 0·L, momento flector Mz (eje fuerte) · combinación «C1: 1,0·D»</t>
        </is>
      </c>
      <c r="N16" s="9" t="inlineStr">
        <is>
          <t>Se comparan valores absolutos (la convención de signo es independiente del resultado).</t>
        </is>
      </c>
    </row>
    <row r="17" ht="28" customHeight="1">
      <c r="A17" s="17" t="n">
        <v>4</v>
      </c>
      <c r="B17" s="8" t="inlineStr">
        <is>
          <t>Momento en el centro</t>
        </is>
      </c>
      <c r="C17" s="17" t="inlineStr">
        <is>
          <t>kN·m</t>
        </is>
      </c>
      <c r="D17" s="26">
        <f>ABS($D$9*$D$8^2/24/1000000)</f>
        <v/>
      </c>
      <c r="E17" s="25" t="n">
        <v>12.5</v>
      </c>
      <c r="F17" s="27">
        <f>E17-D17</f>
        <v/>
      </c>
      <c r="G17" s="28">
        <f>IF(ABS(D17)&gt;0.000000000001,F17/D17,"—")</f>
        <v/>
      </c>
      <c r="H17" s="29" t="n">
        <v>0.0001</v>
      </c>
      <c r="I17" s="30" t="n">
        <v>1e-06</v>
      </c>
      <c r="J17" s="31">
        <f>IF(ABS(F17)&lt;=MAX(H17*ABS(D17),I17),"OK","NO")</f>
        <v/>
      </c>
      <c r="K17" s="17" t="inlineStr">
        <is>
          <t>Fórmula</t>
        </is>
      </c>
      <c r="L17" s="9" t="inlineStr">
        <is>
          <t>q*L^2/24/1000000</t>
        </is>
      </c>
      <c r="M17" s="9" t="inlineStr">
        <is>
          <t>Barra 1, en x = 0.5·L, momento flector Mz (eje fuerte) · combinación «C1: 1,0·D»</t>
        </is>
      </c>
      <c r="N17" s="9" t="inlineStr">
        <is>
          <t>Se comparan valores absolutos (la convención de signo es independiente del resultado).</t>
        </is>
      </c>
    </row>
    <row r="18" ht="28" customHeight="1">
      <c r="A18" s="17" t="n">
        <v>5</v>
      </c>
      <c r="B18" s="8" t="inlineStr">
        <is>
          <t>Flecha en el centro</t>
        </is>
      </c>
      <c r="C18" s="17" t="inlineStr">
        <is>
          <t>mm</t>
        </is>
      </c>
      <c r="D18" s="26">
        <f>-$D$9*$D$8^4/(384*$D$7*$D$10)</f>
        <v/>
      </c>
      <c r="E18" s="25" t="n">
        <v>-2.509153391572454</v>
      </c>
      <c r="F18" s="27">
        <f>E18-D18</f>
        <v/>
      </c>
      <c r="G18" s="28">
        <f>IF(ABS(D18)&gt;0.000000000001,F18/D18,"—")</f>
        <v/>
      </c>
      <c r="H18" s="29" t="n">
        <v>0.0001</v>
      </c>
      <c r="I18" s="30" t="n">
        <v>1e-06</v>
      </c>
      <c r="J18" s="31">
        <f>IF(ABS(F18)&lt;=MAX(H18*ABS(D18),I18),"OK","NO")</f>
        <v/>
      </c>
      <c r="K18" s="17" t="inlineStr">
        <is>
          <t>Fórmula</t>
        </is>
      </c>
      <c r="L18" s="9" t="inlineStr">
        <is>
          <t>-q*L^4/(384*E*I)</t>
        </is>
      </c>
      <c r="M18" s="9" t="inlineStr">
        <is>
          <t>Barra 1, en x = 0.5·L, flecha vy (plano del alma) · combinación «C1: 1,0·D»</t>
        </is>
      </c>
      <c r="N18" s="9" t="inlineStr"/>
    </row>
    <row r="19" ht="28" customHeight="1">
      <c r="A19" s="17" t="n">
        <v>6</v>
      </c>
      <c r="B19" s="8" t="inlineStr">
        <is>
          <t>Corte en el extremo</t>
        </is>
      </c>
      <c r="C19" s="17" t="inlineStr">
        <is>
          <t>kN</t>
        </is>
      </c>
      <c r="D19" s="26">
        <f>ABS($D$9*$D$8/2000)</f>
        <v/>
      </c>
      <c r="E19" s="25" t="n">
        <v>30</v>
      </c>
      <c r="F19" s="27">
        <f>E19-D19</f>
        <v/>
      </c>
      <c r="G19" s="28">
        <f>IF(ABS(D19)&gt;0.000000000001,F19/D19,"—")</f>
        <v/>
      </c>
      <c r="H19" s="29" t="n">
        <v>0.0001</v>
      </c>
      <c r="I19" s="30" t="n">
        <v>1e-06</v>
      </c>
      <c r="J19" s="31">
        <f>IF(ABS(F19)&lt;=MAX(H19*ABS(D19),I19),"OK","NO")</f>
        <v/>
      </c>
      <c r="K19" s="17" t="inlineStr">
        <is>
          <t>Fórmula</t>
        </is>
      </c>
      <c r="L19" s="9" t="inlineStr">
        <is>
          <t>q*L/2000</t>
        </is>
      </c>
      <c r="M19" s="9" t="inlineStr">
        <is>
          <t>Barra 1, en x = 0·L, corte Vy (en el plano del alma) · combinación «C1: 1,0·D»</t>
        </is>
      </c>
      <c r="N19" s="9" t="inlineStr">
        <is>
          <t>Se comparan valores absolutos (la convención de signo es independiente del resultado).</t>
        </is>
      </c>
    </row>
    <row r="21">
      <c r="B21" s="4" t="inlineStr">
        <is>
          <t>Comprobaciones dentro de tolerancia</t>
        </is>
      </c>
      <c r="D21" s="4">
        <f>COUNTIF(J14:J19,"OK")</f>
        <v/>
      </c>
      <c r="E21" s="4">
        <f>ROWS(J14:J19)</f>
        <v/>
      </c>
      <c r="F21" s="4">
        <f>IF(D21=E21,"VERIFICA","DIFIERE")</f>
        <v/>
      </c>
    </row>
    <row r="22">
      <c r="B22" s="2" t="inlineStr">
        <is>
          <t>Azul = dato ingresado o valor que entregó el programa (pegado); negro = fórmula de Excel. El valor «Programa» es el resultado del motor de cálculo de la app para el mismo modelo.</t>
        </is>
      </c>
    </row>
  </sheetData>
  <mergeCells count="1">
    <mergeCell ref="A3:L3"/>
  </mergeCells>
  <conditionalFormatting sqref="J14:J19">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N23"/>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C05 · Viga continua de dos tramos iguales con carga uniforme</t>
        </is>
      </c>
    </row>
    <row r="2">
      <c r="A2" s="2" t="inlineStr">
        <is>
          <t>Solución clásica.  Fuente: Soluciones clásicas de resistencia de materiales y análisis estructural (tablas de vigas, método de pendiente-deflexión, método de los nudos, castigliano)</t>
        </is>
      </c>
    </row>
    <row r="3" ht="30" customHeight="1">
      <c r="A3" s="14" t="inlineStr">
        <is>
          <t>Enunciado. Dos tramos de 3,50 m (IPE 200) con 10 kN/m y tres apoyos. Resultados clásicos de la ecuación de los tres momentos: reacciones 3qL/8, 10qL/8 y 3qL/8; momento en el apoyo central qL²/8 y máximo positivo 9qL²/128 a 3L/8.</t>
        </is>
      </c>
    </row>
    <row r="5">
      <c r="A5" s="22" t="inlineStr">
        <is>
          <t>DATOS DEL EJERCICIO</t>
        </is>
      </c>
      <c r="B5" s="22" t="n"/>
      <c r="C5" s="22" t="n"/>
      <c r="D5" s="22" t="n"/>
      <c r="E5" s="22" t="n"/>
      <c r="F5" s="22" t="n"/>
      <c r="G5" s="22" t="n"/>
      <c r="H5" s="22" t="n"/>
      <c r="I5" s="22" t="n"/>
      <c r="J5" s="22" t="n"/>
      <c r="K5" s="22" t="n"/>
      <c r="L5" s="22" t="n"/>
      <c r="M5" s="22" t="n"/>
      <c r="N5" s="22" t="n"/>
    </row>
    <row r="6">
      <c r="A6" s="5" t="inlineStr">
        <is>
          <t>#</t>
        </is>
      </c>
      <c r="B6" s="5" t="inlineStr">
        <is>
          <t>Dato</t>
        </is>
      </c>
      <c r="C6" s="5" t="inlineStr">
        <is>
          <t>Unidad</t>
        </is>
      </c>
      <c r="D6" s="5" t="inlineStr">
        <is>
          <t>Valor</t>
        </is>
      </c>
      <c r="K6" s="5" t="inlineStr">
        <is>
          <t>Símbolo</t>
        </is>
      </c>
      <c r="L6" s="5" t="inlineStr">
        <is>
          <t>Fórmula (texto)</t>
        </is>
      </c>
    </row>
    <row r="7">
      <c r="A7" s="17" t="n">
        <v>1</v>
      </c>
      <c r="B7" s="8" t="inlineStr">
        <is>
          <t>Módulo elástico</t>
        </is>
      </c>
      <c r="C7" s="17" t="inlineStr">
        <is>
          <t>MPa</t>
        </is>
      </c>
      <c r="D7" s="23" t="n">
        <v>200000</v>
      </c>
      <c r="K7" s="17" t="inlineStr">
        <is>
          <t>E</t>
        </is>
      </c>
      <c r="L7" s="24" t="inlineStr">
        <is>
          <t>dato ingresado</t>
        </is>
      </c>
    </row>
    <row r="8">
      <c r="A8" s="17" t="n">
        <v>2</v>
      </c>
      <c r="B8" s="8" t="inlineStr">
        <is>
          <t>Luz de cada tramo</t>
        </is>
      </c>
      <c r="C8" s="17" t="inlineStr">
        <is>
          <t>mm</t>
        </is>
      </c>
      <c r="D8" s="23" t="n">
        <v>3500</v>
      </c>
      <c r="K8" s="17" t="inlineStr">
        <is>
          <t>L</t>
        </is>
      </c>
      <c r="L8" s="24" t="inlineStr">
        <is>
          <t>dato ingresado</t>
        </is>
      </c>
    </row>
    <row r="9">
      <c r="A9" s="17" t="n">
        <v>3</v>
      </c>
      <c r="B9" s="8" t="inlineStr">
        <is>
          <t>Carga uniforme</t>
        </is>
      </c>
      <c r="C9" s="17" t="inlineStr">
        <is>
          <t>kN/m</t>
        </is>
      </c>
      <c r="D9" s="25" t="n">
        <v>10</v>
      </c>
      <c r="K9" s="17" t="inlineStr">
        <is>
          <t>q</t>
        </is>
      </c>
      <c r="L9" s="24" t="inlineStr">
        <is>
          <t>dato ingresado</t>
        </is>
      </c>
    </row>
    <row r="10">
      <c r="A10" s="17" t="n">
        <v>4</v>
      </c>
      <c r="B10" s="8" t="inlineStr">
        <is>
          <t>Ix IPE 200</t>
        </is>
      </c>
      <c r="C10" s="17" t="inlineStr">
        <is>
          <t>mm⁴</t>
        </is>
      </c>
      <c r="D10" s="35" t="n">
        <v>19430000</v>
      </c>
      <c r="K10" s="17" t="inlineStr">
        <is>
          <t>I</t>
        </is>
      </c>
      <c r="L10" s="24" t="inlineStr">
        <is>
          <t>dato ingresado</t>
        </is>
      </c>
    </row>
    <row r="12">
      <c r="A12" s="22" t="inlineStr">
        <is>
          <t>COMPARACIÓN: TEORÍA / DATO PUBLICADO  vs  PROGRAMA (Atlas Estructuras 3D)</t>
        </is>
      </c>
      <c r="B12" s="22" t="n"/>
      <c r="C12" s="22" t="n"/>
      <c r="D12" s="22" t="n"/>
      <c r="E12" s="22" t="n"/>
      <c r="F12" s="22" t="n"/>
      <c r="G12" s="22" t="n"/>
      <c r="H12" s="22" t="n"/>
      <c r="I12" s="22" t="n"/>
      <c r="J12" s="22" t="n"/>
      <c r="K12" s="22" t="n"/>
      <c r="L12" s="22" t="n"/>
      <c r="M12" s="22" t="n"/>
      <c r="N12" s="22" t="n"/>
    </row>
    <row r="13" ht="30" customHeight="1">
      <c r="A13" s="5" t="inlineStr">
        <is>
          <t>#</t>
        </is>
      </c>
      <c r="B13" s="5" t="inlineStr">
        <is>
          <t>Comprobación</t>
        </is>
      </c>
      <c r="C13" s="5" t="inlineStr">
        <is>
          <t>Unidad</t>
        </is>
      </c>
      <c r="D13" s="5" t="inlineStr">
        <is>
          <t>Teoría / publicado</t>
        </is>
      </c>
      <c r="E13" s="5" t="inlineStr">
        <is>
          <t>Programa</t>
        </is>
      </c>
      <c r="F13" s="5" t="inlineStr">
        <is>
          <t>Diferencia (prog. − teoría)</t>
        </is>
      </c>
      <c r="G13" s="5" t="inlineStr">
        <is>
          <t>Error relativo</t>
        </is>
      </c>
      <c r="H13" s="5" t="inlineStr">
        <is>
          <t>Tol. relativa</t>
        </is>
      </c>
      <c r="I13" s="5" t="inlineStr">
        <is>
          <t>Tol. absoluta</t>
        </is>
      </c>
      <c r="J13" s="5" t="inlineStr">
        <is>
          <t>Estado</t>
        </is>
      </c>
      <c r="K13" s="5" t="inlineStr">
        <is>
          <t>Origen</t>
        </is>
      </c>
      <c r="L13" s="5" t="inlineStr">
        <is>
          <t>Expresión de la teoría (texto)</t>
        </is>
      </c>
      <c r="M13" s="5" t="inlineStr">
        <is>
          <t>Dónde se lee en el programa</t>
        </is>
      </c>
      <c r="N13" s="5" t="inlineStr">
        <is>
          <t>Nota</t>
        </is>
      </c>
    </row>
    <row r="14" ht="16" customHeight="1">
      <c r="A14" s="17" t="n">
        <v>1</v>
      </c>
      <c r="B14" s="8" t="inlineStr">
        <is>
          <t>Reacción en el apoyo extremo A</t>
        </is>
      </c>
      <c r="C14" s="17" t="inlineStr">
        <is>
          <t>kN</t>
        </is>
      </c>
      <c r="D14" s="26">
        <f>3*$D$9*$D$8/8000</f>
        <v/>
      </c>
      <c r="E14" s="25" t="n">
        <v>13.1250000009851</v>
      </c>
      <c r="F14" s="27">
        <f>E14-D14</f>
        <v/>
      </c>
      <c r="G14" s="28">
        <f>IF(ABS(D14)&gt;0.000000000001,F14/D14,"—")</f>
        <v/>
      </c>
      <c r="H14" s="29" t="n">
        <v>0.0001</v>
      </c>
      <c r="I14" s="30" t="n">
        <v>1e-06</v>
      </c>
      <c r="J14" s="31">
        <f>IF(ABS(F14)&lt;=MAX(H14*ABS(D14),I14),"OK","NO")</f>
        <v/>
      </c>
      <c r="K14" s="17" t="inlineStr">
        <is>
          <t>Fórmula</t>
        </is>
      </c>
      <c r="L14" s="9" t="inlineStr">
        <is>
          <t>3*q*L/8000</t>
        </is>
      </c>
      <c r="M14" s="9" t="inlineStr">
        <is>
          <t>Reacción Fz en el nudo 1 · combinación «C1: 1,0·D»</t>
        </is>
      </c>
      <c r="N14" s="9" t="inlineStr"/>
    </row>
    <row r="15" ht="16" customHeight="1">
      <c r="A15" s="17" t="n">
        <v>2</v>
      </c>
      <c r="B15" s="8" t="inlineStr">
        <is>
          <t>Reacción en el apoyo central B</t>
        </is>
      </c>
      <c r="C15" s="17" t="inlineStr">
        <is>
          <t>kN</t>
        </is>
      </c>
      <c r="D15" s="26">
        <f>10*$D$9*$D$8/8000</f>
        <v/>
      </c>
      <c r="E15" s="25" t="n">
        <v>43.74999999802979</v>
      </c>
      <c r="F15" s="27">
        <f>E15-D15</f>
        <v/>
      </c>
      <c r="G15" s="28">
        <f>IF(ABS(D15)&gt;0.000000000001,F15/D15,"—")</f>
        <v/>
      </c>
      <c r="H15" s="29" t="n">
        <v>0.0001</v>
      </c>
      <c r="I15" s="30" t="n">
        <v>1e-06</v>
      </c>
      <c r="J15" s="31">
        <f>IF(ABS(F15)&lt;=MAX(H15*ABS(D15),I15),"OK","NO")</f>
        <v/>
      </c>
      <c r="K15" s="17" t="inlineStr">
        <is>
          <t>Fórmula</t>
        </is>
      </c>
      <c r="L15" s="9" t="inlineStr">
        <is>
          <t>10*q*L/8000</t>
        </is>
      </c>
      <c r="M15" s="9" t="inlineStr">
        <is>
          <t>Reacción Fz en el nudo 2 · combinación «C1: 1,0·D»</t>
        </is>
      </c>
      <c r="N15" s="9" t="inlineStr"/>
    </row>
    <row r="16" ht="16" customHeight="1">
      <c r="A16" s="17" t="n">
        <v>3</v>
      </c>
      <c r="B16" s="8" t="inlineStr">
        <is>
          <t>Reacción en el apoyo extremo C</t>
        </is>
      </c>
      <c r="C16" s="17" t="inlineStr">
        <is>
          <t>kN</t>
        </is>
      </c>
      <c r="D16" s="26">
        <f>3*$D$9*$D$8/8000</f>
        <v/>
      </c>
      <c r="E16" s="25" t="n">
        <v>13.1250000009851</v>
      </c>
      <c r="F16" s="27">
        <f>E16-D16</f>
        <v/>
      </c>
      <c r="G16" s="28">
        <f>IF(ABS(D16)&gt;0.000000000001,F16/D16,"—")</f>
        <v/>
      </c>
      <c r="H16" s="29" t="n">
        <v>0.0001</v>
      </c>
      <c r="I16" s="30" t="n">
        <v>1e-06</v>
      </c>
      <c r="J16" s="31">
        <f>IF(ABS(F16)&lt;=MAX(H16*ABS(D16),I16),"OK","NO")</f>
        <v/>
      </c>
      <c r="K16" s="17" t="inlineStr">
        <is>
          <t>Fórmula</t>
        </is>
      </c>
      <c r="L16" s="9" t="inlineStr">
        <is>
          <t>3*q*L/8000</t>
        </is>
      </c>
      <c r="M16" s="9" t="inlineStr">
        <is>
          <t>Reacción Fz en el nudo 3 · combinación «C1: 1,0·D»</t>
        </is>
      </c>
      <c r="N16" s="9" t="inlineStr"/>
    </row>
    <row r="17" ht="28" customHeight="1">
      <c r="A17" s="17" t="n">
        <v>4</v>
      </c>
      <c r="B17" s="8" t="inlineStr">
        <is>
          <t>Momento negativo sobre el apoyo central</t>
        </is>
      </c>
      <c r="C17" s="17" t="inlineStr">
        <is>
          <t>kN·m</t>
        </is>
      </c>
      <c r="D17" s="26">
        <f>ABS($D$9*$D$8^2/8/1000000)</f>
        <v/>
      </c>
      <c r="E17" s="25" t="n">
        <v>15.3124999988507</v>
      </c>
      <c r="F17" s="27">
        <f>E17-D17</f>
        <v/>
      </c>
      <c r="G17" s="28">
        <f>IF(ABS(D17)&gt;0.000000000001,F17/D17,"—")</f>
        <v/>
      </c>
      <c r="H17" s="29" t="n">
        <v>0.0001</v>
      </c>
      <c r="I17" s="30" t="n">
        <v>1e-06</v>
      </c>
      <c r="J17" s="31">
        <f>IF(ABS(F17)&lt;=MAX(H17*ABS(D17),I17),"OK","NO")</f>
        <v/>
      </c>
      <c r="K17" s="17" t="inlineStr">
        <is>
          <t>Fórmula</t>
        </is>
      </c>
      <c r="L17" s="9" t="inlineStr">
        <is>
          <t>q*L^2/8/1000000</t>
        </is>
      </c>
      <c r="M17" s="9" t="inlineStr">
        <is>
          <t>Barra 1, en x = 1·L, momento flector Mz (eje fuerte) · combinación «C1: 1,0·D»</t>
        </is>
      </c>
      <c r="N17" s="9" t="inlineStr">
        <is>
          <t>Se comparan valores absolutos (la convención de signo es independiente del resultado).</t>
        </is>
      </c>
    </row>
    <row r="18" ht="28" customHeight="1">
      <c r="A18" s="17" t="n">
        <v>5</v>
      </c>
      <c r="B18" s="8" t="inlineStr">
        <is>
          <t>Momento positivo máximo (a 3L/8 del apoyo A)</t>
        </is>
      </c>
      <c r="C18" s="17" t="inlineStr">
        <is>
          <t>kN·m</t>
        </is>
      </c>
      <c r="D18" s="26">
        <f>ABS(9*$D$9*$D$8^2/128/1000000)</f>
        <v/>
      </c>
      <c r="E18" s="25" t="n">
        <v>8.613281248994372</v>
      </c>
      <c r="F18" s="27">
        <f>E18-D18</f>
        <v/>
      </c>
      <c r="G18" s="28">
        <f>IF(ABS(D18)&gt;0.000000000001,F18/D18,"—")</f>
        <v/>
      </c>
      <c r="H18" s="29" t="n">
        <v>0.0001</v>
      </c>
      <c r="I18" s="30" t="n">
        <v>1e-06</v>
      </c>
      <c r="J18" s="31">
        <f>IF(ABS(F18)&lt;=MAX(H18*ABS(D18),I18),"OK","NO")</f>
        <v/>
      </c>
      <c r="K18" s="17" t="inlineStr">
        <is>
          <t>Fórmula</t>
        </is>
      </c>
      <c r="L18" s="9" t="inlineStr">
        <is>
          <t>9*q*L^2/128/1000000</t>
        </is>
      </c>
      <c r="M18" s="9" t="inlineStr">
        <is>
          <t>Barra 1, en x = 0.375·L, momento flector Mz (eje fuerte) · combinación «C1: 1,0·D»</t>
        </is>
      </c>
      <c r="N18" s="9" t="inlineStr">
        <is>
          <t>Se comparan valores absolutos (la convención de signo es independiente del resultado).</t>
        </is>
      </c>
    </row>
    <row r="19" ht="28" customHeight="1">
      <c r="A19" s="17" t="n">
        <v>6</v>
      </c>
      <c r="B19" s="8" t="inlineStr">
        <is>
          <t>Corte a la izquierda del apoyo central</t>
        </is>
      </c>
      <c r="C19" s="17" t="inlineStr">
        <is>
          <t>kN</t>
        </is>
      </c>
      <c r="D19" s="26">
        <f>ABS(5*$D$9*$D$8/8000)</f>
        <v/>
      </c>
      <c r="E19" s="25" t="n">
        <v>21.87499999901489</v>
      </c>
      <c r="F19" s="27">
        <f>E19-D19</f>
        <v/>
      </c>
      <c r="G19" s="28">
        <f>IF(ABS(D19)&gt;0.000000000001,F19/D19,"—")</f>
        <v/>
      </c>
      <c r="H19" s="29" t="n">
        <v>0.0001</v>
      </c>
      <c r="I19" s="30" t="n">
        <v>1e-06</v>
      </c>
      <c r="J19" s="31">
        <f>IF(ABS(F19)&lt;=MAX(H19*ABS(D19),I19),"OK","NO")</f>
        <v/>
      </c>
      <c r="K19" s="17" t="inlineStr">
        <is>
          <t>Fórmula</t>
        </is>
      </c>
      <c r="L19" s="9" t="inlineStr">
        <is>
          <t>5*q*L/8000</t>
        </is>
      </c>
      <c r="M19" s="9" t="inlineStr">
        <is>
          <t>Barra 1, en x = 1·L, corte Vy (en el plano del alma) · combinación «C1: 1,0·D»</t>
        </is>
      </c>
      <c r="N19" s="9" t="inlineStr">
        <is>
          <t>Se comparan valores absolutos (la convención de signo es independiente del resultado).</t>
        </is>
      </c>
    </row>
    <row r="20" ht="16" customHeight="1">
      <c r="A20" s="17" t="n">
        <v>7</v>
      </c>
      <c r="B20" s="8" t="inlineStr">
        <is>
          <t>Giro del apoyo central (simetría)</t>
        </is>
      </c>
      <c r="C20" s="17" t="inlineStr">
        <is>
          <t>rad</t>
        </is>
      </c>
      <c r="D20" s="33">
        <f>0</f>
        <v/>
      </c>
      <c r="E20" s="34" t="n">
        <v>-1.692556217631376e-18</v>
      </c>
      <c r="F20" s="27">
        <f>E20-D20</f>
        <v/>
      </c>
      <c r="G20" s="28">
        <f>IF(ABS(D20)&gt;0.000000000001,F20/D20,"—")</f>
        <v/>
      </c>
      <c r="H20" s="29" t="n">
        <v>0.0001</v>
      </c>
      <c r="I20" s="30" t="n">
        <v>1e-09</v>
      </c>
      <c r="J20" s="31">
        <f>IF(ABS(F20)&lt;=MAX(H20*ABS(D20),I20),"OK","NO")</f>
        <v/>
      </c>
      <c r="K20" s="17" t="inlineStr">
        <is>
          <t>Fórmula</t>
        </is>
      </c>
      <c r="L20" s="9" t="inlineStr">
        <is>
          <t>0</t>
        </is>
      </c>
      <c r="M20" s="9" t="inlineStr">
        <is>
          <t>Desplazamiento Ry del nudo 2 · combinación «C1: 1,0·D»</t>
        </is>
      </c>
      <c r="N20" s="9" t="inlineStr"/>
    </row>
    <row r="22">
      <c r="B22" s="4" t="inlineStr">
        <is>
          <t>Comprobaciones dentro de tolerancia</t>
        </is>
      </c>
      <c r="D22" s="4">
        <f>COUNTIF(J14:J20,"OK")</f>
        <v/>
      </c>
      <c r="E22" s="4">
        <f>ROWS(J14:J20)</f>
        <v/>
      </c>
      <c r="F22" s="4">
        <f>IF(D22=E22,"VERIFICA","DIFIERE")</f>
        <v/>
      </c>
    </row>
    <row r="23">
      <c r="B23" s="2" t="inlineStr">
        <is>
          <t>Azul = dato ingresado o valor que entregó el programa (pegado); negro = fórmula de Excel. El valor «Programa» es el resultado del motor de cálculo de la app para el mismo modelo.</t>
        </is>
      </c>
    </row>
  </sheetData>
  <mergeCells count="1">
    <mergeCell ref="A3:L3"/>
  </mergeCells>
  <conditionalFormatting sqref="J14:J20">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A1:N22"/>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C06 · Viga empotrada–apoyada con carga uniforme</t>
        </is>
      </c>
    </row>
    <row r="2">
      <c r="A2" s="2" t="inlineStr">
        <is>
          <t>Solución clásica.  Fuente: Soluciones clásicas de resistencia de materiales y análisis estructural (tablas de vigas, método de pendiente-deflexión, método de los nudos, castigliano)</t>
        </is>
      </c>
    </row>
    <row r="3" ht="30" customHeight="1">
      <c r="A3" s="14" t="inlineStr">
        <is>
          <t>Enunciado. Viga IPE 200 de 4,00 m empotrada en A y con apoyo móvil en B, carga de 10 kN/m. Reacciones 5qL/8 y 3qL/8, momento de empotramiento qL²/8, máximo positivo 9qL²/128 a 3L/8 del apoyo B, flecha a media luz qL⁴/(192EI) y giro en B qL³/(48EI).</t>
        </is>
      </c>
    </row>
    <row r="5">
      <c r="A5" s="22" t="inlineStr">
        <is>
          <t>DATOS DEL EJERCICIO</t>
        </is>
      </c>
      <c r="B5" s="22" t="n"/>
      <c r="C5" s="22" t="n"/>
      <c r="D5" s="22" t="n"/>
      <c r="E5" s="22" t="n"/>
      <c r="F5" s="22" t="n"/>
      <c r="G5" s="22" t="n"/>
      <c r="H5" s="22" t="n"/>
      <c r="I5" s="22" t="n"/>
      <c r="J5" s="22" t="n"/>
      <c r="K5" s="22" t="n"/>
      <c r="L5" s="22" t="n"/>
      <c r="M5" s="22" t="n"/>
      <c r="N5" s="22" t="n"/>
    </row>
    <row r="6">
      <c r="A6" s="5" t="inlineStr">
        <is>
          <t>#</t>
        </is>
      </c>
      <c r="B6" s="5" t="inlineStr">
        <is>
          <t>Dato</t>
        </is>
      </c>
      <c r="C6" s="5" t="inlineStr">
        <is>
          <t>Unidad</t>
        </is>
      </c>
      <c r="D6" s="5" t="inlineStr">
        <is>
          <t>Valor</t>
        </is>
      </c>
      <c r="K6" s="5" t="inlineStr">
        <is>
          <t>Símbolo</t>
        </is>
      </c>
      <c r="L6" s="5" t="inlineStr">
        <is>
          <t>Fórmula (texto)</t>
        </is>
      </c>
    </row>
    <row r="7">
      <c r="A7" s="17" t="n">
        <v>1</v>
      </c>
      <c r="B7" s="8" t="inlineStr">
        <is>
          <t>Módulo elástico</t>
        </is>
      </c>
      <c r="C7" s="17" t="inlineStr">
        <is>
          <t>MPa</t>
        </is>
      </c>
      <c r="D7" s="23" t="n">
        <v>200000</v>
      </c>
      <c r="K7" s="17" t="inlineStr">
        <is>
          <t>E</t>
        </is>
      </c>
      <c r="L7" s="24" t="inlineStr">
        <is>
          <t>dato ingresado</t>
        </is>
      </c>
    </row>
    <row r="8">
      <c r="A8" s="17" t="n">
        <v>2</v>
      </c>
      <c r="B8" s="8" t="inlineStr">
        <is>
          <t>Luz</t>
        </is>
      </c>
      <c r="C8" s="17" t="inlineStr">
        <is>
          <t>mm</t>
        </is>
      </c>
      <c r="D8" s="23" t="n">
        <v>4000</v>
      </c>
      <c r="K8" s="17" t="inlineStr">
        <is>
          <t>L</t>
        </is>
      </c>
      <c r="L8" s="24" t="inlineStr">
        <is>
          <t>dato ingresado</t>
        </is>
      </c>
    </row>
    <row r="9">
      <c r="A9" s="17" t="n">
        <v>3</v>
      </c>
      <c r="B9" s="8" t="inlineStr">
        <is>
          <t>Carga uniforme</t>
        </is>
      </c>
      <c r="C9" s="17" t="inlineStr">
        <is>
          <t>kN/m</t>
        </is>
      </c>
      <c r="D9" s="25" t="n">
        <v>10</v>
      </c>
      <c r="K9" s="17" t="inlineStr">
        <is>
          <t>q</t>
        </is>
      </c>
      <c r="L9" s="24" t="inlineStr">
        <is>
          <t>dato ingresado</t>
        </is>
      </c>
    </row>
    <row r="10">
      <c r="A10" s="17" t="n">
        <v>4</v>
      </c>
      <c r="B10" s="8" t="inlineStr">
        <is>
          <t>Ix IPE 200</t>
        </is>
      </c>
      <c r="C10" s="17" t="inlineStr">
        <is>
          <t>mm⁴</t>
        </is>
      </c>
      <c r="D10" s="35" t="n">
        <v>19430000</v>
      </c>
      <c r="K10" s="17" t="inlineStr">
        <is>
          <t>I</t>
        </is>
      </c>
      <c r="L10" s="24" t="inlineStr">
        <is>
          <t>dato ingresado</t>
        </is>
      </c>
    </row>
    <row r="12">
      <c r="A12" s="22" t="inlineStr">
        <is>
          <t>COMPARACIÓN: TEORÍA / DATO PUBLICADO  vs  PROGRAMA (Atlas Estructuras 3D)</t>
        </is>
      </c>
      <c r="B12" s="22" t="n"/>
      <c r="C12" s="22" t="n"/>
      <c r="D12" s="22" t="n"/>
      <c r="E12" s="22" t="n"/>
      <c r="F12" s="22" t="n"/>
      <c r="G12" s="22" t="n"/>
      <c r="H12" s="22" t="n"/>
      <c r="I12" s="22" t="n"/>
      <c r="J12" s="22" t="n"/>
      <c r="K12" s="22" t="n"/>
      <c r="L12" s="22" t="n"/>
      <c r="M12" s="22" t="n"/>
      <c r="N12" s="22" t="n"/>
    </row>
    <row r="13" ht="30" customHeight="1">
      <c r="A13" s="5" t="inlineStr">
        <is>
          <t>#</t>
        </is>
      </c>
      <c r="B13" s="5" t="inlineStr">
        <is>
          <t>Comprobación</t>
        </is>
      </c>
      <c r="C13" s="5" t="inlineStr">
        <is>
          <t>Unidad</t>
        </is>
      </c>
      <c r="D13" s="5" t="inlineStr">
        <is>
          <t>Teoría / publicado</t>
        </is>
      </c>
      <c r="E13" s="5" t="inlineStr">
        <is>
          <t>Programa</t>
        </is>
      </c>
      <c r="F13" s="5" t="inlineStr">
        <is>
          <t>Diferencia (prog. − teoría)</t>
        </is>
      </c>
      <c r="G13" s="5" t="inlineStr">
        <is>
          <t>Error relativo</t>
        </is>
      </c>
      <c r="H13" s="5" t="inlineStr">
        <is>
          <t>Tol. relativa</t>
        </is>
      </c>
      <c r="I13" s="5" t="inlineStr">
        <is>
          <t>Tol. absoluta</t>
        </is>
      </c>
      <c r="J13" s="5" t="inlineStr">
        <is>
          <t>Estado</t>
        </is>
      </c>
      <c r="K13" s="5" t="inlineStr">
        <is>
          <t>Origen</t>
        </is>
      </c>
      <c r="L13" s="5" t="inlineStr">
        <is>
          <t>Expresión de la teoría (texto)</t>
        </is>
      </c>
      <c r="M13" s="5" t="inlineStr">
        <is>
          <t>Dónde se lee en el programa</t>
        </is>
      </c>
      <c r="N13" s="5" t="inlineStr">
        <is>
          <t>Nota</t>
        </is>
      </c>
    </row>
    <row r="14" ht="16" customHeight="1">
      <c r="A14" s="17" t="n">
        <v>1</v>
      </c>
      <c r="B14" s="8" t="inlineStr">
        <is>
          <t>Reacción en el empotramiento A</t>
        </is>
      </c>
      <c r="C14" s="17" t="inlineStr">
        <is>
          <t>kN</t>
        </is>
      </c>
      <c r="D14" s="26">
        <f>5*$D$9*$D$8/8000</f>
        <v/>
      </c>
      <c r="E14" s="25" t="n">
        <v>24.99999999871334</v>
      </c>
      <c r="F14" s="27">
        <f>E14-D14</f>
        <v/>
      </c>
      <c r="G14" s="28">
        <f>IF(ABS(D14)&gt;0.000000000001,F14/D14,"—")</f>
        <v/>
      </c>
      <c r="H14" s="29" t="n">
        <v>0.0001</v>
      </c>
      <c r="I14" s="30" t="n">
        <v>1e-06</v>
      </c>
      <c r="J14" s="31">
        <f>IF(ABS(F14)&lt;=MAX(H14*ABS(D14),I14),"OK","NO")</f>
        <v/>
      </c>
      <c r="K14" s="17" t="inlineStr">
        <is>
          <t>Fórmula</t>
        </is>
      </c>
      <c r="L14" s="9" t="inlineStr">
        <is>
          <t>5*q*L/8000</t>
        </is>
      </c>
      <c r="M14" s="9" t="inlineStr">
        <is>
          <t>Reacción Fz en el nudo 1 · combinación «C1: 1,0·D»</t>
        </is>
      </c>
      <c r="N14" s="9" t="inlineStr"/>
    </row>
    <row r="15" ht="16" customHeight="1">
      <c r="A15" s="17" t="n">
        <v>2</v>
      </c>
      <c r="B15" s="8" t="inlineStr">
        <is>
          <t>Reacción en el apoyo móvil B</t>
        </is>
      </c>
      <c r="C15" s="17" t="inlineStr">
        <is>
          <t>kN</t>
        </is>
      </c>
      <c r="D15" s="26">
        <f>3*$D$9*$D$8/8000</f>
        <v/>
      </c>
      <c r="E15" s="25" t="n">
        <v>15.00000000128666</v>
      </c>
      <c r="F15" s="27">
        <f>E15-D15</f>
        <v/>
      </c>
      <c r="G15" s="28">
        <f>IF(ABS(D15)&gt;0.000000000001,F15/D15,"—")</f>
        <v/>
      </c>
      <c r="H15" s="29" t="n">
        <v>0.0001</v>
      </c>
      <c r="I15" s="30" t="n">
        <v>1e-06</v>
      </c>
      <c r="J15" s="31">
        <f>IF(ABS(F15)&lt;=MAX(H15*ABS(D15),I15),"OK","NO")</f>
        <v/>
      </c>
      <c r="K15" s="17" t="inlineStr">
        <is>
          <t>Fórmula</t>
        </is>
      </c>
      <c r="L15" s="9" t="inlineStr">
        <is>
          <t>3*q*L/8000</t>
        </is>
      </c>
      <c r="M15" s="9" t="inlineStr">
        <is>
          <t>Reacción Fz en el nudo 2 · combinación «C1: 1,0·D»</t>
        </is>
      </c>
      <c r="N15" s="9" t="inlineStr"/>
    </row>
    <row r="16" ht="16" customHeight="1">
      <c r="A16" s="17" t="n">
        <v>3</v>
      </c>
      <c r="B16" s="8" t="inlineStr">
        <is>
          <t>Momento de empotramiento</t>
        </is>
      </c>
      <c r="C16" s="17" t="inlineStr">
        <is>
          <t>kN·m</t>
        </is>
      </c>
      <c r="D16" s="26">
        <f>ABS($D$9*$D$8^2/8/1000000)</f>
        <v/>
      </c>
      <c r="E16" s="25" t="n">
        <v>19.99999999828445</v>
      </c>
      <c r="F16" s="27">
        <f>E16-D16</f>
        <v/>
      </c>
      <c r="G16" s="28">
        <f>IF(ABS(D16)&gt;0.000000000001,F16/D16,"—")</f>
        <v/>
      </c>
      <c r="H16" s="29" t="n">
        <v>0.0001</v>
      </c>
      <c r="I16" s="30" t="n">
        <v>1e-06</v>
      </c>
      <c r="J16" s="31">
        <f>IF(ABS(F16)&lt;=MAX(H16*ABS(D16),I16),"OK","NO")</f>
        <v/>
      </c>
      <c r="K16" s="17" t="inlineStr">
        <is>
          <t>Fórmula</t>
        </is>
      </c>
      <c r="L16" s="9" t="inlineStr">
        <is>
          <t>q*L^2/8/1000000</t>
        </is>
      </c>
      <c r="M16" s="9" t="inlineStr">
        <is>
          <t>Reacción My en el nudo 1 · combinación «C1: 1,0·D»</t>
        </is>
      </c>
      <c r="N16" s="9" t="inlineStr">
        <is>
          <t>Se comparan valores absolutos (la convención de signo es independiente del resultado).</t>
        </is>
      </c>
    </row>
    <row r="17" ht="28" customHeight="1">
      <c r="A17" s="17" t="n">
        <v>4</v>
      </c>
      <c r="B17" s="8" t="inlineStr">
        <is>
          <t>Momento positivo máximo (a 5L/8 de A)</t>
        </is>
      </c>
      <c r="C17" s="17" t="inlineStr">
        <is>
          <t>kN·m</t>
        </is>
      </c>
      <c r="D17" s="26">
        <f>ABS(9*$D$9*$D$8^2/128/1000000)</f>
        <v/>
      </c>
      <c r="E17" s="25" t="n">
        <v>11.2499999984989</v>
      </c>
      <c r="F17" s="27">
        <f>E17-D17</f>
        <v/>
      </c>
      <c r="G17" s="28">
        <f>IF(ABS(D17)&gt;0.000000000001,F17/D17,"—")</f>
        <v/>
      </c>
      <c r="H17" s="29" t="n">
        <v>0.0001</v>
      </c>
      <c r="I17" s="30" t="n">
        <v>1e-06</v>
      </c>
      <c r="J17" s="31">
        <f>IF(ABS(F17)&lt;=MAX(H17*ABS(D17),I17),"OK","NO")</f>
        <v/>
      </c>
      <c r="K17" s="17" t="inlineStr">
        <is>
          <t>Fórmula</t>
        </is>
      </c>
      <c r="L17" s="9" t="inlineStr">
        <is>
          <t>9*q*L^2/128/1000000</t>
        </is>
      </c>
      <c r="M17" s="9" t="inlineStr">
        <is>
          <t>Barra 1, en x = 0.625·L, momento flector Mz (eje fuerte) · combinación «C1: 1,0·D»</t>
        </is>
      </c>
      <c r="N17" s="9" t="inlineStr">
        <is>
          <t>Se comparan valores absolutos (la convención de signo es independiente del resultado).</t>
        </is>
      </c>
    </row>
    <row r="18" ht="28" customHeight="1">
      <c r="A18" s="17" t="n">
        <v>5</v>
      </c>
      <c r="B18" s="8" t="inlineStr">
        <is>
          <t>Flecha a media luz</t>
        </is>
      </c>
      <c r="C18" s="17" t="inlineStr">
        <is>
          <t>mm</t>
        </is>
      </c>
      <c r="D18" s="26">
        <f>-$D$9*$D$8^4/(192*$D$7*$D$10)</f>
        <v/>
      </c>
      <c r="E18" s="25" t="n">
        <v>-3.431120260323673</v>
      </c>
      <c r="F18" s="27">
        <f>E18-D18</f>
        <v/>
      </c>
      <c r="G18" s="28">
        <f>IF(ABS(D18)&gt;0.000000000001,F18/D18,"—")</f>
        <v/>
      </c>
      <c r="H18" s="29" t="n">
        <v>0.0001</v>
      </c>
      <c r="I18" s="30" t="n">
        <v>1e-06</v>
      </c>
      <c r="J18" s="31">
        <f>IF(ABS(F18)&lt;=MAX(H18*ABS(D18),I18),"OK","NO")</f>
        <v/>
      </c>
      <c r="K18" s="17" t="inlineStr">
        <is>
          <t>Fórmula</t>
        </is>
      </c>
      <c r="L18" s="9" t="inlineStr">
        <is>
          <t>-q*L^4/(192*E*I)</t>
        </is>
      </c>
      <c r="M18" s="9" t="inlineStr">
        <is>
          <t>Barra 1, en x = 0.5·L, flecha vy (plano del alma) · combinación «C1: 1,0·D»</t>
        </is>
      </c>
      <c r="N18" s="9" t="inlineStr"/>
    </row>
    <row r="19" ht="16" customHeight="1">
      <c r="A19" s="17" t="n">
        <v>6</v>
      </c>
      <c r="B19" s="8" t="inlineStr">
        <is>
          <t>Giro en el apoyo B</t>
        </is>
      </c>
      <c r="C19" s="17" t="inlineStr">
        <is>
          <t>rad</t>
        </is>
      </c>
      <c r="D19" s="33">
        <f>ABS($D$9*$D$8^3/(48*$D$7*$D$10))</f>
        <v/>
      </c>
      <c r="E19" s="34" t="n">
        <v>0.003431120259882208</v>
      </c>
      <c r="F19" s="27">
        <f>E19-D19</f>
        <v/>
      </c>
      <c r="G19" s="28">
        <f>IF(ABS(D19)&gt;0.000000000001,F19/D19,"—")</f>
        <v/>
      </c>
      <c r="H19" s="29" t="n">
        <v>0.0001</v>
      </c>
      <c r="I19" s="30" t="n">
        <v>1e-06</v>
      </c>
      <c r="J19" s="31">
        <f>IF(ABS(F19)&lt;=MAX(H19*ABS(D19),I19),"OK","NO")</f>
        <v/>
      </c>
      <c r="K19" s="17" t="inlineStr">
        <is>
          <t>Fórmula</t>
        </is>
      </c>
      <c r="L19" s="9" t="inlineStr">
        <is>
          <t>q*L^3/(48*E*I)</t>
        </is>
      </c>
      <c r="M19" s="9" t="inlineStr">
        <is>
          <t>Desplazamiento Ry del nudo 2 · combinación «C1: 1,0·D»</t>
        </is>
      </c>
      <c r="N19" s="9" t="inlineStr">
        <is>
          <t>Se comparan valores absolutos (la convención de signo es independiente del resultado).</t>
        </is>
      </c>
    </row>
    <row r="21">
      <c r="B21" s="4" t="inlineStr">
        <is>
          <t>Comprobaciones dentro de tolerancia</t>
        </is>
      </c>
      <c r="D21" s="4">
        <f>COUNTIF(J14:J19,"OK")</f>
        <v/>
      </c>
      <c r="E21" s="4">
        <f>ROWS(J14:J19)</f>
        <v/>
      </c>
      <c r="F21" s="4">
        <f>IF(D21=E21,"VERIFICA","DIFIERE")</f>
        <v/>
      </c>
    </row>
    <row r="22">
      <c r="B22" s="2" t="inlineStr">
        <is>
          <t>Azul = dato ingresado o valor que entregó el programa (pegado); negro = fórmula de Excel. El valor «Programa» es el resultado del motor de cálculo de la app para el mismo modelo.</t>
        </is>
      </c>
    </row>
  </sheetData>
  <mergeCells count="1">
    <mergeCell ref="A3:L3"/>
  </mergeCells>
  <conditionalFormatting sqref="J14:J19">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19.xml><?xml version="1.0" encoding="utf-8"?>
<worksheet xmlns="http://schemas.openxmlformats.org/spreadsheetml/2006/main">
  <sheetPr>
    <outlinePr summaryBelow="1" summaryRight="1"/>
    <pageSetUpPr fitToPage="1"/>
  </sheetPr>
  <dimension ref="A1:N24"/>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C07 · Viga Gerber (articulación intermedia)</t>
        </is>
      </c>
    </row>
    <row r="2">
      <c r="A2" s="2" t="inlineStr">
        <is>
          <t>Solución clásica.  Fuente: Soluciones clásicas de resistencia de materiales y análisis estructural (tablas de vigas, método de pendiente-deflexión, método de los nudos, castigliano)</t>
        </is>
      </c>
    </row>
    <row r="3" ht="30" customHeight="1">
      <c r="A3" s="14" t="inlineStr">
        <is>
          <t>Enunciado. Dos tramos de 3,00 m con 10 kN/m. El primero está empotrado en 1; el segundo se articula al extremo del primero (momento liberado en el nudo 2) y se apoya en 3. Es isostática: R3 = qL/2, R1 = 3qL/2, M1 = qL². Verifica la liberación de momentos y la recuperación del giro liberado.</t>
        </is>
      </c>
    </row>
    <row r="5">
      <c r="A5" s="22" t="inlineStr">
        <is>
          <t>DATOS DEL EJERCICIO</t>
        </is>
      </c>
      <c r="B5" s="22" t="n"/>
      <c r="C5" s="22" t="n"/>
      <c r="D5" s="22" t="n"/>
      <c r="E5" s="22" t="n"/>
      <c r="F5" s="22" t="n"/>
      <c r="G5" s="22" t="n"/>
      <c r="H5" s="22" t="n"/>
      <c r="I5" s="22" t="n"/>
      <c r="J5" s="22" t="n"/>
      <c r="K5" s="22" t="n"/>
      <c r="L5" s="22" t="n"/>
      <c r="M5" s="22" t="n"/>
      <c r="N5" s="22" t="n"/>
    </row>
    <row r="6">
      <c r="A6" s="5" t="inlineStr">
        <is>
          <t>#</t>
        </is>
      </c>
      <c r="B6" s="5" t="inlineStr">
        <is>
          <t>Dato</t>
        </is>
      </c>
      <c r="C6" s="5" t="inlineStr">
        <is>
          <t>Unidad</t>
        </is>
      </c>
      <c r="D6" s="5" t="inlineStr">
        <is>
          <t>Valor</t>
        </is>
      </c>
      <c r="K6" s="5" t="inlineStr">
        <is>
          <t>Símbolo</t>
        </is>
      </c>
      <c r="L6" s="5" t="inlineStr">
        <is>
          <t>Fórmula (texto)</t>
        </is>
      </c>
    </row>
    <row r="7">
      <c r="A7" s="17" t="n">
        <v>1</v>
      </c>
      <c r="B7" s="8" t="inlineStr">
        <is>
          <t>Módulo elástico</t>
        </is>
      </c>
      <c r="C7" s="17" t="inlineStr">
        <is>
          <t>MPa</t>
        </is>
      </c>
      <c r="D7" s="23" t="n">
        <v>200000</v>
      </c>
      <c r="K7" s="17" t="inlineStr">
        <is>
          <t>E</t>
        </is>
      </c>
      <c r="L7" s="24" t="inlineStr">
        <is>
          <t>dato ingresado</t>
        </is>
      </c>
    </row>
    <row r="8">
      <c r="A8" s="17" t="n">
        <v>2</v>
      </c>
      <c r="B8" s="8" t="inlineStr">
        <is>
          <t>Luz de cada tramo</t>
        </is>
      </c>
      <c r="C8" s="17" t="inlineStr">
        <is>
          <t>mm</t>
        </is>
      </c>
      <c r="D8" s="23" t="n">
        <v>3000</v>
      </c>
      <c r="K8" s="17" t="inlineStr">
        <is>
          <t>L</t>
        </is>
      </c>
      <c r="L8" s="24" t="inlineStr">
        <is>
          <t>dato ingresado</t>
        </is>
      </c>
    </row>
    <row r="9">
      <c r="A9" s="17" t="n">
        <v>3</v>
      </c>
      <c r="B9" s="8" t="inlineStr">
        <is>
          <t>Carga uniforme</t>
        </is>
      </c>
      <c r="C9" s="17" t="inlineStr">
        <is>
          <t>kN/m</t>
        </is>
      </c>
      <c r="D9" s="25" t="n">
        <v>10</v>
      </c>
      <c r="K9" s="17" t="inlineStr">
        <is>
          <t>q</t>
        </is>
      </c>
      <c r="L9" s="24" t="inlineStr">
        <is>
          <t>dato ingresado</t>
        </is>
      </c>
    </row>
    <row r="10">
      <c r="A10" s="17" t="n">
        <v>4</v>
      </c>
      <c r="B10" s="8" t="inlineStr">
        <is>
          <t>Ix IPE 200</t>
        </is>
      </c>
      <c r="C10" s="17" t="inlineStr">
        <is>
          <t>mm⁴</t>
        </is>
      </c>
      <c r="D10" s="35" t="n">
        <v>19430000</v>
      </c>
      <c r="K10" s="17" t="inlineStr">
        <is>
          <t>I</t>
        </is>
      </c>
      <c r="L10" s="24" t="inlineStr">
        <is>
          <t>dato ingresado</t>
        </is>
      </c>
    </row>
    <row r="12">
      <c r="A12" s="22" t="inlineStr">
        <is>
          <t>COMPARACIÓN: TEORÍA / DATO PUBLICADO  vs  PROGRAMA (Atlas Estructuras 3D)</t>
        </is>
      </c>
      <c r="B12" s="22" t="n"/>
      <c r="C12" s="22" t="n"/>
      <c r="D12" s="22" t="n"/>
      <c r="E12" s="22" t="n"/>
      <c r="F12" s="22" t="n"/>
      <c r="G12" s="22" t="n"/>
      <c r="H12" s="22" t="n"/>
      <c r="I12" s="22" t="n"/>
      <c r="J12" s="22" t="n"/>
      <c r="K12" s="22" t="n"/>
      <c r="L12" s="22" t="n"/>
      <c r="M12" s="22" t="n"/>
      <c r="N12" s="22" t="n"/>
    </row>
    <row r="13" ht="30" customHeight="1">
      <c r="A13" s="5" t="inlineStr">
        <is>
          <t>#</t>
        </is>
      </c>
      <c r="B13" s="5" t="inlineStr">
        <is>
          <t>Comprobación</t>
        </is>
      </c>
      <c r="C13" s="5" t="inlineStr">
        <is>
          <t>Unidad</t>
        </is>
      </c>
      <c r="D13" s="5" t="inlineStr">
        <is>
          <t>Teoría / publicado</t>
        </is>
      </c>
      <c r="E13" s="5" t="inlineStr">
        <is>
          <t>Programa</t>
        </is>
      </c>
      <c r="F13" s="5" t="inlineStr">
        <is>
          <t>Diferencia (prog. − teoría)</t>
        </is>
      </c>
      <c r="G13" s="5" t="inlineStr">
        <is>
          <t>Error relativo</t>
        </is>
      </c>
      <c r="H13" s="5" t="inlineStr">
        <is>
          <t>Tol. relativa</t>
        </is>
      </c>
      <c r="I13" s="5" t="inlineStr">
        <is>
          <t>Tol. absoluta</t>
        </is>
      </c>
      <c r="J13" s="5" t="inlineStr">
        <is>
          <t>Estado</t>
        </is>
      </c>
      <c r="K13" s="5" t="inlineStr">
        <is>
          <t>Origen</t>
        </is>
      </c>
      <c r="L13" s="5" t="inlineStr">
        <is>
          <t>Expresión de la teoría (texto)</t>
        </is>
      </c>
      <c r="M13" s="5" t="inlineStr">
        <is>
          <t>Dónde se lee en el programa</t>
        </is>
      </c>
      <c r="N13" s="5" t="inlineStr">
        <is>
          <t>Nota</t>
        </is>
      </c>
    </row>
    <row r="14" ht="16" customHeight="1">
      <c r="A14" s="17" t="n">
        <v>1</v>
      </c>
      <c r="B14" s="8" t="inlineStr">
        <is>
          <t>Reacción vertical en el empotramiento</t>
        </is>
      </c>
      <c r="C14" s="17" t="inlineStr">
        <is>
          <t>kN</t>
        </is>
      </c>
      <c r="D14" s="26">
        <f>1.5*$D$9*$D$8/1000</f>
        <v/>
      </c>
      <c r="E14" s="25" t="n">
        <v>44.99999999227997</v>
      </c>
      <c r="F14" s="27">
        <f>E14-D14</f>
        <v/>
      </c>
      <c r="G14" s="28">
        <f>IF(ABS(D14)&gt;0.000000000001,F14/D14,"—")</f>
        <v/>
      </c>
      <c r="H14" s="29" t="n">
        <v>0.0001</v>
      </c>
      <c r="I14" s="30" t="n">
        <v>1e-06</v>
      </c>
      <c r="J14" s="31">
        <f>IF(ABS(F14)&lt;=MAX(H14*ABS(D14),I14),"OK","NO")</f>
        <v/>
      </c>
      <c r="K14" s="17" t="inlineStr">
        <is>
          <t>Fórmula</t>
        </is>
      </c>
      <c r="L14" s="9" t="inlineStr">
        <is>
          <t>1.5*q*L/1000</t>
        </is>
      </c>
      <c r="M14" s="9" t="inlineStr">
        <is>
          <t>Reacción Fz en el nudo 1 · combinación «C1: 1,0·D»</t>
        </is>
      </c>
      <c r="N14" s="9" t="inlineStr"/>
    </row>
    <row r="15" ht="16" customHeight="1">
      <c r="A15" s="17" t="n">
        <v>2</v>
      </c>
      <c r="B15" s="8" t="inlineStr">
        <is>
          <t>Momento de empotramiento</t>
        </is>
      </c>
      <c r="C15" s="17" t="inlineStr">
        <is>
          <t>kN·m</t>
        </is>
      </c>
      <c r="D15" s="26">
        <f>ABS($D$9*$D$8^2/1000000)</f>
        <v/>
      </c>
      <c r="E15" s="25" t="n">
        <v>89.9999999478898</v>
      </c>
      <c r="F15" s="27">
        <f>E15-D15</f>
        <v/>
      </c>
      <c r="G15" s="28">
        <f>IF(ABS(D15)&gt;0.000000000001,F15/D15,"—")</f>
        <v/>
      </c>
      <c r="H15" s="29" t="n">
        <v>0.0001</v>
      </c>
      <c r="I15" s="30" t="n">
        <v>1e-06</v>
      </c>
      <c r="J15" s="31">
        <f>IF(ABS(F15)&lt;=MAX(H15*ABS(D15),I15),"OK","NO")</f>
        <v/>
      </c>
      <c r="K15" s="17" t="inlineStr">
        <is>
          <t>Fórmula</t>
        </is>
      </c>
      <c r="L15" s="9" t="inlineStr">
        <is>
          <t>q*L^2/1000000</t>
        </is>
      </c>
      <c r="M15" s="9" t="inlineStr">
        <is>
          <t>Reacción My en el nudo 1 · combinación «C1: 1,0·D»</t>
        </is>
      </c>
      <c r="N15" s="9" t="inlineStr">
        <is>
          <t>Se comparan valores absolutos (la convención de signo es independiente del resultado).</t>
        </is>
      </c>
    </row>
    <row r="16" ht="16" customHeight="1">
      <c r="A16" s="17" t="n">
        <v>3</v>
      </c>
      <c r="B16" s="8" t="inlineStr">
        <is>
          <t>Reacción en el apoyo móvil</t>
        </is>
      </c>
      <c r="C16" s="17" t="inlineStr">
        <is>
          <t>kN</t>
        </is>
      </c>
      <c r="D16" s="26">
        <f>$D$9*$D$8/2000</f>
        <v/>
      </c>
      <c r="E16" s="25" t="n">
        <v>15.00000000772002</v>
      </c>
      <c r="F16" s="27">
        <f>E16-D16</f>
        <v/>
      </c>
      <c r="G16" s="28">
        <f>IF(ABS(D16)&gt;0.000000000001,F16/D16,"—")</f>
        <v/>
      </c>
      <c r="H16" s="29" t="n">
        <v>0.0001</v>
      </c>
      <c r="I16" s="30" t="n">
        <v>1e-06</v>
      </c>
      <c r="J16" s="31">
        <f>IF(ABS(F16)&lt;=MAX(H16*ABS(D16),I16),"OK","NO")</f>
        <v/>
      </c>
      <c r="K16" s="17" t="inlineStr">
        <is>
          <t>Fórmula</t>
        </is>
      </c>
      <c r="L16" s="9" t="inlineStr">
        <is>
          <t>q*L/2000</t>
        </is>
      </c>
      <c r="M16" s="9" t="inlineStr">
        <is>
          <t>Reacción Fz en el nudo 3 · combinación «C1: 1,0·D»</t>
        </is>
      </c>
      <c r="N16" s="9" t="inlineStr"/>
    </row>
    <row r="17" ht="16" customHeight="1">
      <c r="A17" s="17" t="n">
        <v>4</v>
      </c>
      <c r="B17" s="8" t="inlineStr">
        <is>
          <t>Descenso de la articulación (nudo 2)</t>
        </is>
      </c>
      <c r="C17" s="17" t="inlineStr">
        <is>
          <t>mm</t>
        </is>
      </c>
      <c r="D17" s="26">
        <f>-7*$D$9*$D$8^4/(24*$D$7*$D$10)</f>
        <v/>
      </c>
      <c r="E17" s="25" t="n">
        <v>-60.79516206902837</v>
      </c>
      <c r="F17" s="27">
        <f>E17-D17</f>
        <v/>
      </c>
      <c r="G17" s="28">
        <f>IF(ABS(D17)&gt;0.000000000001,F17/D17,"—")</f>
        <v/>
      </c>
      <c r="H17" s="29" t="n">
        <v>0.0001</v>
      </c>
      <c r="I17" s="30" t="n">
        <v>1e-06</v>
      </c>
      <c r="J17" s="31">
        <f>IF(ABS(F17)&lt;=MAX(H17*ABS(D17),I17),"OK","NO")</f>
        <v/>
      </c>
      <c r="K17" s="17" t="inlineStr">
        <is>
          <t>Fórmula</t>
        </is>
      </c>
      <c r="L17" s="9" t="inlineStr">
        <is>
          <t>-7*q*L^4/(24*E*I)</t>
        </is>
      </c>
      <c r="M17" s="9" t="inlineStr">
        <is>
          <t>Desplazamiento Uz del nudo 2 · combinación «C1: 1,0·D»</t>
        </is>
      </c>
      <c r="N17" s="9" t="inlineStr"/>
    </row>
    <row r="18" ht="16" customHeight="1">
      <c r="A18" s="17" t="n">
        <v>5</v>
      </c>
      <c r="B18" s="8" t="inlineStr">
        <is>
          <t>Giro del extremo del primer tramo</t>
        </is>
      </c>
      <c r="C18" s="17" t="inlineStr">
        <is>
          <t>rad</t>
        </is>
      </c>
      <c r="D18" s="36">
        <f>ABS(5*$D$9*$D$8^3/(12*$D$7*$D$10))</f>
        <v/>
      </c>
      <c r="E18" s="37" t="n">
        <v>0.02895007716891652</v>
      </c>
      <c r="F18" s="27">
        <f>E18-D18</f>
        <v/>
      </c>
      <c r="G18" s="28">
        <f>IF(ABS(D18)&gt;0.000000000001,F18/D18,"—")</f>
        <v/>
      </c>
      <c r="H18" s="29" t="n">
        <v>0.0001</v>
      </c>
      <c r="I18" s="30" t="n">
        <v>1e-06</v>
      </c>
      <c r="J18" s="31">
        <f>IF(ABS(F18)&lt;=MAX(H18*ABS(D18),I18),"OK","NO")</f>
        <v/>
      </c>
      <c r="K18" s="17" t="inlineStr">
        <is>
          <t>Fórmula</t>
        </is>
      </c>
      <c r="L18" s="9" t="inlineStr">
        <is>
          <t>5*q*L^3/(12*E*I)</t>
        </is>
      </c>
      <c r="M18" s="9" t="inlineStr">
        <is>
          <t>Desplazamiento Ry del nudo 2 · combinación «C1: 1,0·D»</t>
        </is>
      </c>
      <c r="N18" s="9" t="inlineStr">
        <is>
          <t>Se comparan valores absolutos (la convención de signo es independiente del resultado).</t>
        </is>
      </c>
    </row>
    <row r="19" ht="28" customHeight="1">
      <c r="A19" s="17" t="n">
        <v>6</v>
      </c>
      <c r="B19" s="8" t="inlineStr">
        <is>
          <t>Momento en la articulación, lado tramo 2</t>
        </is>
      </c>
      <c r="C19" s="17" t="inlineStr">
        <is>
          <t>kN·m</t>
        </is>
      </c>
      <c r="D19" s="33">
        <f>0</f>
        <v/>
      </c>
      <c r="E19" s="34" t="n">
        <v>7.579876236062463e-15</v>
      </c>
      <c r="F19" s="27">
        <f>E19-D19</f>
        <v/>
      </c>
      <c r="G19" s="28">
        <f>IF(ABS(D19)&gt;0.000000000001,F19/D19,"—")</f>
        <v/>
      </c>
      <c r="H19" s="29" t="n">
        <v>0.0001</v>
      </c>
      <c r="I19" s="30" t="n">
        <v>1e-06</v>
      </c>
      <c r="J19" s="31">
        <f>IF(ABS(F19)&lt;=MAX(H19*ABS(D19),I19),"OK","NO")</f>
        <v/>
      </c>
      <c r="K19" s="17" t="inlineStr">
        <is>
          <t>Fórmula</t>
        </is>
      </c>
      <c r="L19" s="9" t="inlineStr">
        <is>
          <t>0</t>
        </is>
      </c>
      <c r="M19" s="9" t="inlineStr">
        <is>
          <t>Barra 2, en x = 0·L, momento flector Mz (eje fuerte) · combinación «C1: 1,0·D»</t>
        </is>
      </c>
      <c r="N19" s="9" t="inlineStr"/>
    </row>
    <row r="20" ht="28" customHeight="1">
      <c r="A20" s="17" t="n">
        <v>7</v>
      </c>
      <c r="B20" s="8" t="inlineStr">
        <is>
          <t>Momento en la articulación, lado tramo 1</t>
        </is>
      </c>
      <c r="C20" s="17" t="inlineStr">
        <is>
          <t>kN·m</t>
        </is>
      </c>
      <c r="D20" s="33">
        <f>0</f>
        <v/>
      </c>
      <c r="E20" s="34" t="n">
        <v>2.895009517669678e-08</v>
      </c>
      <c r="F20" s="27">
        <f>E20-D20</f>
        <v/>
      </c>
      <c r="G20" s="28">
        <f>IF(ABS(D20)&gt;0.000000000001,F20/D20,"—")</f>
        <v/>
      </c>
      <c r="H20" s="29" t="n">
        <v>0.0001</v>
      </c>
      <c r="I20" s="30" t="n">
        <v>1e-06</v>
      </c>
      <c r="J20" s="31">
        <f>IF(ABS(F20)&lt;=MAX(H20*ABS(D20),I20),"OK","NO")</f>
        <v/>
      </c>
      <c r="K20" s="17" t="inlineStr">
        <is>
          <t>Fórmula</t>
        </is>
      </c>
      <c r="L20" s="9" t="inlineStr">
        <is>
          <t>0</t>
        </is>
      </c>
      <c r="M20" s="9" t="inlineStr">
        <is>
          <t>Barra 1, en x = 1·L, momento flector Mz (eje fuerte) · combinación «C1: 1,0·D»</t>
        </is>
      </c>
      <c r="N20" s="9" t="inlineStr"/>
    </row>
    <row r="21" ht="28" customHeight="1">
      <c r="A21" s="17" t="n">
        <v>8</v>
      </c>
      <c r="B21" s="8" t="inlineStr">
        <is>
          <t>Momento a media luz del tramo 2</t>
        </is>
      </c>
      <c r="C21" s="17" t="inlineStr">
        <is>
          <t>kN·m</t>
        </is>
      </c>
      <c r="D21" s="26">
        <f>ABS($D$9*$D$8^2/8/1000000)</f>
        <v/>
      </c>
      <c r="E21" s="25" t="n">
        <v>11.24999998841997</v>
      </c>
      <c r="F21" s="27">
        <f>E21-D21</f>
        <v/>
      </c>
      <c r="G21" s="28">
        <f>IF(ABS(D21)&gt;0.000000000001,F21/D21,"—")</f>
        <v/>
      </c>
      <c r="H21" s="29" t="n">
        <v>0.0001</v>
      </c>
      <c r="I21" s="30" t="n">
        <v>1e-06</v>
      </c>
      <c r="J21" s="31">
        <f>IF(ABS(F21)&lt;=MAX(H21*ABS(D21),I21),"OK","NO")</f>
        <v/>
      </c>
      <c r="K21" s="17" t="inlineStr">
        <is>
          <t>Fórmula</t>
        </is>
      </c>
      <c r="L21" s="9" t="inlineStr">
        <is>
          <t>q*L^2/8/1000000</t>
        </is>
      </c>
      <c r="M21" s="9" t="inlineStr">
        <is>
          <t>Barra 2, en x = 0.5·L, momento flector Mz (eje fuerte) · combinación «C1: 1,0·D»</t>
        </is>
      </c>
      <c r="N21" s="9" t="inlineStr">
        <is>
          <t>Se comparan valores absolutos (la convención de signo es independiente del resultado).</t>
        </is>
      </c>
    </row>
    <row r="23">
      <c r="B23" s="4" t="inlineStr">
        <is>
          <t>Comprobaciones dentro de tolerancia</t>
        </is>
      </c>
      <c r="D23" s="4">
        <f>COUNTIF(J14:J21,"OK")</f>
        <v/>
      </c>
      <c r="E23" s="4">
        <f>ROWS(J14:J21)</f>
        <v/>
      </c>
      <c r="F23" s="4">
        <f>IF(D23=E23,"VERIFICA","DIFIERE")</f>
        <v/>
      </c>
    </row>
    <row r="24">
      <c r="B24" s="2" t="inlineStr">
        <is>
          <t>Azul = dato ingresado o valor que entregó el programa (pegado); negro = fórmula de Excel. El valor «Programa» es el resultado del motor de cálculo de la app para el mismo modelo.</t>
        </is>
      </c>
    </row>
  </sheetData>
  <mergeCells count="1">
    <mergeCell ref="A3:L3"/>
  </mergeCells>
  <conditionalFormatting sqref="J14:J21">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20.xml><?xml version="1.0" encoding="utf-8"?>
<worksheet xmlns="http://schemas.openxmlformats.org/spreadsheetml/2006/main">
  <sheetPr>
    <outlinePr summaryBelow="1" summaryRight="1"/>
    <pageSetUpPr fitToPage="1"/>
  </sheetPr>
  <dimension ref="A1:N27"/>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C08 · Reticulado plano triangular (método de los nudos)</t>
        </is>
      </c>
    </row>
    <row r="2">
      <c r="A2" s="2" t="inlineStr">
        <is>
          <t>Solución clásica.  Fuente: Soluciones clásicas de resistencia de materiales y análisis estructural (tablas de vigas, método de pendiente-deflexión, método de los nudos, castigliano)</t>
        </is>
      </c>
    </row>
    <row r="3" ht="30" customHeight="1">
      <c r="A3" s="14" t="inlineStr">
        <is>
          <t>Enunciado. Triángulo isósceles de base 4,00 m y altura 3,00 m, barras articuladas (A = 500 mm²), apoyo fijo en A, móvil en B y carga vertical de 30 kN en el vértice C. Esfuerzos por equilibrio de nudos y descenso del vértice por trabajos virtuales.</t>
        </is>
      </c>
    </row>
    <row r="5">
      <c r="A5" s="22" t="inlineStr">
        <is>
          <t>DATOS DEL EJERCICIO</t>
        </is>
      </c>
      <c r="B5" s="22" t="n"/>
      <c r="C5" s="22" t="n"/>
      <c r="D5" s="22" t="n"/>
      <c r="E5" s="22" t="n"/>
      <c r="F5" s="22" t="n"/>
      <c r="G5" s="22" t="n"/>
      <c r="H5" s="22" t="n"/>
      <c r="I5" s="22" t="n"/>
      <c r="J5" s="22" t="n"/>
      <c r="K5" s="22" t="n"/>
      <c r="L5" s="22" t="n"/>
      <c r="M5" s="22" t="n"/>
      <c r="N5" s="22" t="n"/>
    </row>
    <row r="6">
      <c r="A6" s="5" t="inlineStr">
        <is>
          <t>#</t>
        </is>
      </c>
      <c r="B6" s="5" t="inlineStr">
        <is>
          <t>Dato</t>
        </is>
      </c>
      <c r="C6" s="5" t="inlineStr">
        <is>
          <t>Unidad</t>
        </is>
      </c>
      <c r="D6" s="5" t="inlineStr">
        <is>
          <t>Valor</t>
        </is>
      </c>
      <c r="K6" s="5" t="inlineStr">
        <is>
          <t>Símbolo</t>
        </is>
      </c>
      <c r="L6" s="5" t="inlineStr">
        <is>
          <t>Fórmula (texto)</t>
        </is>
      </c>
    </row>
    <row r="7">
      <c r="A7" s="17" t="n">
        <v>1</v>
      </c>
      <c r="B7" s="8" t="inlineStr">
        <is>
          <t>Módulo elástico</t>
        </is>
      </c>
      <c r="C7" s="17" t="inlineStr">
        <is>
          <t>MPa</t>
        </is>
      </c>
      <c r="D7" s="23" t="n">
        <v>200000</v>
      </c>
      <c r="K7" s="17" t="inlineStr">
        <is>
          <t>E</t>
        </is>
      </c>
      <c r="L7" s="24" t="inlineStr">
        <is>
          <t>dato ingresado</t>
        </is>
      </c>
    </row>
    <row r="8">
      <c r="A8" s="17" t="n">
        <v>2</v>
      </c>
      <c r="B8" s="8" t="inlineStr">
        <is>
          <t>Base</t>
        </is>
      </c>
      <c r="C8" s="17" t="inlineStr">
        <is>
          <t>mm</t>
        </is>
      </c>
      <c r="D8" s="23" t="n">
        <v>4000</v>
      </c>
      <c r="K8" s="17" t="inlineStr">
        <is>
          <t>Lab</t>
        </is>
      </c>
      <c r="L8" s="24" t="inlineStr">
        <is>
          <t>dato ingresado</t>
        </is>
      </c>
    </row>
    <row r="9">
      <c r="A9" s="17" t="n">
        <v>3</v>
      </c>
      <c r="B9" s="8" t="inlineStr">
        <is>
          <t>Altura</t>
        </is>
      </c>
      <c r="C9" s="17" t="inlineStr">
        <is>
          <t>mm</t>
        </is>
      </c>
      <c r="D9" s="23" t="n">
        <v>3000</v>
      </c>
      <c r="K9" s="17" t="inlineStr">
        <is>
          <t>H</t>
        </is>
      </c>
      <c r="L9" s="24" t="inlineStr">
        <is>
          <t>dato ingresado</t>
        </is>
      </c>
    </row>
    <row r="10">
      <c r="A10" s="17" t="n">
        <v>4</v>
      </c>
      <c r="B10" s="8" t="inlineStr">
        <is>
          <t>Área de cada barra</t>
        </is>
      </c>
      <c r="C10" s="17" t="inlineStr">
        <is>
          <t>mm²</t>
        </is>
      </c>
      <c r="D10" s="25" t="n">
        <v>500</v>
      </c>
      <c r="K10" s="17" t="inlineStr">
        <is>
          <t>A</t>
        </is>
      </c>
      <c r="L10" s="24" t="inlineStr">
        <is>
          <t>dato ingresado</t>
        </is>
      </c>
    </row>
    <row r="11">
      <c r="A11" s="17" t="n">
        <v>5</v>
      </c>
      <c r="B11" s="8" t="inlineStr">
        <is>
          <t>Carga en el vértice</t>
        </is>
      </c>
      <c r="C11" s="17" t="inlineStr">
        <is>
          <t>kN</t>
        </is>
      </c>
      <c r="D11" s="25" t="n">
        <v>30</v>
      </c>
      <c r="K11" s="17" t="inlineStr">
        <is>
          <t>P</t>
        </is>
      </c>
      <c r="L11" s="24" t="inlineStr">
        <is>
          <t>dato ingresado</t>
        </is>
      </c>
    </row>
    <row r="12">
      <c r="A12" s="17" t="n">
        <v>6</v>
      </c>
      <c r="B12" s="8" t="inlineStr">
        <is>
          <t>Longitud de las barras inclinadas</t>
        </is>
      </c>
      <c r="C12" s="17" t="inlineStr">
        <is>
          <t>mm</t>
        </is>
      </c>
      <c r="D12" s="38">
        <f>SQRT(($D$8/2)^2+$D$9^2)</f>
        <v/>
      </c>
      <c r="K12" s="17" t="inlineStr">
        <is>
          <t>Lc</t>
        </is>
      </c>
      <c r="L12" s="24" t="inlineStr">
        <is>
          <t>valor = SQRT((Lab/2)^2+H^2)</t>
        </is>
      </c>
    </row>
    <row r="13">
      <c r="A13" s="17" t="n">
        <v>7</v>
      </c>
      <c r="B13" s="8" t="inlineStr">
        <is>
          <t>Ángulo de las barras inclinadas</t>
        </is>
      </c>
      <c r="C13" s="17" t="inlineStr">
        <is>
          <t>rad</t>
        </is>
      </c>
      <c r="D13" s="36">
        <f>ATAN($D$9/($D$8/2))</f>
        <v/>
      </c>
      <c r="K13" s="17" t="inlineStr">
        <is>
          <t>alfa</t>
        </is>
      </c>
      <c r="L13" s="24" t="inlineStr">
        <is>
          <t>valor = ATAN(H/(Lab/2))</t>
        </is>
      </c>
    </row>
    <row r="15">
      <c r="A15" s="22" t="inlineStr">
        <is>
          <t>COMPARACIÓN: TEORÍA / DATO PUBLICADO  vs  PROGRAMA (Atlas Estructuras 3D)</t>
        </is>
      </c>
      <c r="B15" s="22" t="n"/>
      <c r="C15" s="22" t="n"/>
      <c r="D15" s="22" t="n"/>
      <c r="E15" s="22" t="n"/>
      <c r="F15" s="22" t="n"/>
      <c r="G15" s="22" t="n"/>
      <c r="H15" s="22" t="n"/>
      <c r="I15" s="22" t="n"/>
      <c r="J15" s="22" t="n"/>
      <c r="K15" s="22" t="n"/>
      <c r="L15" s="22" t="n"/>
      <c r="M15" s="22" t="n"/>
      <c r="N15" s="22" t="n"/>
    </row>
    <row r="16" ht="30" customHeight="1">
      <c r="A16" s="5" t="inlineStr">
        <is>
          <t>#</t>
        </is>
      </c>
      <c r="B16" s="5" t="inlineStr">
        <is>
          <t>Comprobación</t>
        </is>
      </c>
      <c r="C16" s="5" t="inlineStr">
        <is>
          <t>Unidad</t>
        </is>
      </c>
      <c r="D16" s="5" t="inlineStr">
        <is>
          <t>Teoría / publicado</t>
        </is>
      </c>
      <c r="E16" s="5" t="inlineStr">
        <is>
          <t>Programa</t>
        </is>
      </c>
      <c r="F16" s="5" t="inlineStr">
        <is>
          <t>Diferencia (prog. − teoría)</t>
        </is>
      </c>
      <c r="G16" s="5" t="inlineStr">
        <is>
          <t>Error relativo</t>
        </is>
      </c>
      <c r="H16" s="5" t="inlineStr">
        <is>
          <t>Tol. relativa</t>
        </is>
      </c>
      <c r="I16" s="5" t="inlineStr">
        <is>
          <t>Tol. absoluta</t>
        </is>
      </c>
      <c r="J16" s="5" t="inlineStr">
        <is>
          <t>Estado</t>
        </is>
      </c>
      <c r="K16" s="5" t="inlineStr">
        <is>
          <t>Origen</t>
        </is>
      </c>
      <c r="L16" s="5" t="inlineStr">
        <is>
          <t>Expresión de la teoría (texto)</t>
        </is>
      </c>
      <c r="M16" s="5" t="inlineStr">
        <is>
          <t>Dónde se lee en el programa</t>
        </is>
      </c>
      <c r="N16" s="5" t="inlineStr">
        <is>
          <t>Nota</t>
        </is>
      </c>
    </row>
    <row r="17" ht="28" customHeight="1">
      <c r="A17" s="17" t="n">
        <v>1</v>
      </c>
      <c r="B17" s="8" t="inlineStr">
        <is>
          <t>Axil de la barra inclinada 1 (compresión −)</t>
        </is>
      </c>
      <c r="C17" s="17" t="inlineStr">
        <is>
          <t>kN</t>
        </is>
      </c>
      <c r="D17" s="26">
        <f>-$D$11/(2*SIN($D$13))</f>
        <v/>
      </c>
      <c r="E17" s="25" t="n">
        <v>-18.02775637731995</v>
      </c>
      <c r="F17" s="27">
        <f>E17-D17</f>
        <v/>
      </c>
      <c r="G17" s="28">
        <f>IF(ABS(D17)&gt;0.000000000001,F17/D17,"—")</f>
        <v/>
      </c>
      <c r="H17" s="29" t="n">
        <v>0.0001</v>
      </c>
      <c r="I17" s="30" t="n">
        <v>1e-06</v>
      </c>
      <c r="J17" s="31">
        <f>IF(ABS(F17)&lt;=MAX(H17*ABS(D17),I17),"OK","NO")</f>
        <v/>
      </c>
      <c r="K17" s="17" t="inlineStr">
        <is>
          <t>Fórmula</t>
        </is>
      </c>
      <c r="L17" s="9" t="inlineStr">
        <is>
          <t>-P/(2*SIN(alfa))</t>
        </is>
      </c>
      <c r="M17" s="9" t="inlineStr">
        <is>
          <t>Barra 1, en x = 0.5·L, esfuerzo axil N (tracción +) · combinación «C1: 1,0·D»</t>
        </is>
      </c>
      <c r="N17" s="9" t="inlineStr"/>
    </row>
    <row r="18" ht="28" customHeight="1">
      <c r="A18" s="17" t="n">
        <v>2</v>
      </c>
      <c r="B18" s="8" t="inlineStr">
        <is>
          <t>Axil de la barra inclinada 2</t>
        </is>
      </c>
      <c r="C18" s="17" t="inlineStr">
        <is>
          <t>kN</t>
        </is>
      </c>
      <c r="D18" s="26">
        <f>-$D$11/(2*SIN($D$13))</f>
        <v/>
      </c>
      <c r="E18" s="25" t="n">
        <v>-18.02775637731995</v>
      </c>
      <c r="F18" s="27">
        <f>E18-D18</f>
        <v/>
      </c>
      <c r="G18" s="28">
        <f>IF(ABS(D18)&gt;0.000000000001,F18/D18,"—")</f>
        <v/>
      </c>
      <c r="H18" s="29" t="n">
        <v>0.0001</v>
      </c>
      <c r="I18" s="30" t="n">
        <v>1e-06</v>
      </c>
      <c r="J18" s="31">
        <f>IF(ABS(F18)&lt;=MAX(H18*ABS(D18),I18),"OK","NO")</f>
        <v/>
      </c>
      <c r="K18" s="17" t="inlineStr">
        <is>
          <t>Fórmula</t>
        </is>
      </c>
      <c r="L18" s="9" t="inlineStr">
        <is>
          <t>-P/(2*SIN(alfa))</t>
        </is>
      </c>
      <c r="M18" s="9" t="inlineStr">
        <is>
          <t>Barra 2, en x = 0.5·L, esfuerzo axil N (tracción +) · combinación «C1: 1,0·D»</t>
        </is>
      </c>
      <c r="N18" s="9" t="inlineStr"/>
    </row>
    <row r="19" ht="28" customHeight="1">
      <c r="A19" s="17" t="n">
        <v>3</v>
      </c>
      <c r="B19" s="8" t="inlineStr">
        <is>
          <t>Axil del tirante AB (tracción +)</t>
        </is>
      </c>
      <c r="C19" s="17" t="inlineStr">
        <is>
          <t>kN</t>
        </is>
      </c>
      <c r="D19" s="26">
        <f>$D$11/(2*TAN($D$13))</f>
        <v/>
      </c>
      <c r="E19" s="25" t="n">
        <v>10.00000000000001</v>
      </c>
      <c r="F19" s="27">
        <f>E19-D19</f>
        <v/>
      </c>
      <c r="G19" s="28">
        <f>IF(ABS(D19)&gt;0.000000000001,F19/D19,"—")</f>
        <v/>
      </c>
      <c r="H19" s="29" t="n">
        <v>0.0001</v>
      </c>
      <c r="I19" s="30" t="n">
        <v>1e-06</v>
      </c>
      <c r="J19" s="31">
        <f>IF(ABS(F19)&lt;=MAX(H19*ABS(D19),I19),"OK","NO")</f>
        <v/>
      </c>
      <c r="K19" s="17" t="inlineStr">
        <is>
          <t>Fórmula</t>
        </is>
      </c>
      <c r="L19" s="9" t="inlineStr">
        <is>
          <t>P/(2*TAN(alfa))</t>
        </is>
      </c>
      <c r="M19" s="9" t="inlineStr">
        <is>
          <t>Barra 3, en x = 0.5·L, esfuerzo axil N (tracción +) · combinación «C1: 1,0·D»</t>
        </is>
      </c>
      <c r="N19" s="9" t="inlineStr"/>
    </row>
    <row r="20" ht="16" customHeight="1">
      <c r="A20" s="17" t="n">
        <v>4</v>
      </c>
      <c r="B20" s="8" t="inlineStr">
        <is>
          <t>Descenso del vértice C</t>
        </is>
      </c>
      <c r="C20" s="17" t="inlineStr">
        <is>
          <t>mm</t>
        </is>
      </c>
      <c r="D20" s="36">
        <f>-$D$11*1000/($D$7*$D$10)*(2*(1/(2*SIN($D$13)))^2*$D$12+(1/(2*TAN($D$13)))^2*$D$8)</f>
        <v/>
      </c>
      <c r="E20" s="37" t="n">
        <v>-0.9145361096838647</v>
      </c>
      <c r="F20" s="27">
        <f>E20-D20</f>
        <v/>
      </c>
      <c r="G20" s="28">
        <f>IF(ABS(D20)&gt;0.000000000001,F20/D20,"—")</f>
        <v/>
      </c>
      <c r="H20" s="29" t="n">
        <v>0.0001</v>
      </c>
      <c r="I20" s="30" t="n">
        <v>1e-06</v>
      </c>
      <c r="J20" s="31">
        <f>IF(ABS(F20)&lt;=MAX(H20*ABS(D20),I20),"OK","NO")</f>
        <v/>
      </c>
      <c r="K20" s="17" t="inlineStr">
        <is>
          <t>Fórmula</t>
        </is>
      </c>
      <c r="L20" s="9" t="inlineStr">
        <is>
          <t>-P*1000/(E*A)*(2*(1/(2*SIN(alfa)))^2*Lc+(1/(2*TAN(alfa)))^2*Lab)</t>
        </is>
      </c>
      <c r="M20" s="9" t="inlineStr">
        <is>
          <t>Desplazamiento Uz del nudo 3 · combinación «C1: 1,0·D»</t>
        </is>
      </c>
      <c r="N20" s="9" t="inlineStr"/>
    </row>
    <row r="21" ht="16" customHeight="1">
      <c r="A21" s="17" t="n">
        <v>5</v>
      </c>
      <c r="B21" s="8" t="inlineStr">
        <is>
          <t>Corrimiento horizontal del apoyo móvil B</t>
        </is>
      </c>
      <c r="C21" s="17" t="inlineStr">
        <is>
          <t>mm</t>
        </is>
      </c>
      <c r="D21" s="36">
        <f>$D$11/(2*TAN($D$13))*1000*$D$8/($D$7*$D$10)</f>
        <v/>
      </c>
      <c r="E21" s="37" t="n">
        <v>0.4000000000000002</v>
      </c>
      <c r="F21" s="27">
        <f>E21-D21</f>
        <v/>
      </c>
      <c r="G21" s="28">
        <f>IF(ABS(D21)&gt;0.000000000001,F21/D21,"—")</f>
        <v/>
      </c>
      <c r="H21" s="29" t="n">
        <v>0.0001</v>
      </c>
      <c r="I21" s="30" t="n">
        <v>1e-06</v>
      </c>
      <c r="J21" s="31">
        <f>IF(ABS(F21)&lt;=MAX(H21*ABS(D21),I21),"OK","NO")</f>
        <v/>
      </c>
      <c r="K21" s="17" t="inlineStr">
        <is>
          <t>Fórmula</t>
        </is>
      </c>
      <c r="L21" s="9" t="inlineStr">
        <is>
          <t>P/(2*TAN(alfa))*1000*Lab/(E*A)</t>
        </is>
      </c>
      <c r="M21" s="9" t="inlineStr">
        <is>
          <t>Desplazamiento Ux del nudo 2 · combinación «C1: 1,0·D»</t>
        </is>
      </c>
      <c r="N21" s="9" t="inlineStr"/>
    </row>
    <row r="22" ht="16" customHeight="1">
      <c r="A22" s="17" t="n">
        <v>6</v>
      </c>
      <c r="B22" s="8" t="inlineStr">
        <is>
          <t>Reacción vertical en A</t>
        </is>
      </c>
      <c r="C22" s="17" t="inlineStr">
        <is>
          <t>kN</t>
        </is>
      </c>
      <c r="D22" s="26">
        <f>$D$11/2</f>
        <v/>
      </c>
      <c r="E22" s="25" t="n">
        <v>15</v>
      </c>
      <c r="F22" s="27">
        <f>E22-D22</f>
        <v/>
      </c>
      <c r="G22" s="28">
        <f>IF(ABS(D22)&gt;0.000000000001,F22/D22,"—")</f>
        <v/>
      </c>
      <c r="H22" s="29" t="n">
        <v>0.0001</v>
      </c>
      <c r="I22" s="30" t="n">
        <v>1e-06</v>
      </c>
      <c r="J22" s="31">
        <f>IF(ABS(F22)&lt;=MAX(H22*ABS(D22),I22),"OK","NO")</f>
        <v/>
      </c>
      <c r="K22" s="17" t="inlineStr">
        <is>
          <t>Fórmula</t>
        </is>
      </c>
      <c r="L22" s="9" t="inlineStr">
        <is>
          <t>P/2</t>
        </is>
      </c>
      <c r="M22" s="9" t="inlineStr">
        <is>
          <t>Reacción Fz en el nudo 1 · combinación «C1: 1,0·D»</t>
        </is>
      </c>
      <c r="N22" s="9" t="inlineStr"/>
    </row>
    <row r="23" ht="16" customHeight="1">
      <c r="A23" s="17" t="n">
        <v>7</v>
      </c>
      <c r="B23" s="8" t="inlineStr">
        <is>
          <t>Reacción vertical en B</t>
        </is>
      </c>
      <c r="C23" s="17" t="inlineStr">
        <is>
          <t>kN</t>
        </is>
      </c>
      <c r="D23" s="26">
        <f>$D$11/2</f>
        <v/>
      </c>
      <c r="E23" s="25" t="n">
        <v>15</v>
      </c>
      <c r="F23" s="27">
        <f>E23-D23</f>
        <v/>
      </c>
      <c r="G23" s="28">
        <f>IF(ABS(D23)&gt;0.000000000001,F23/D23,"—")</f>
        <v/>
      </c>
      <c r="H23" s="29" t="n">
        <v>0.0001</v>
      </c>
      <c r="I23" s="30" t="n">
        <v>1e-06</v>
      </c>
      <c r="J23" s="31">
        <f>IF(ABS(F23)&lt;=MAX(H23*ABS(D23),I23),"OK","NO")</f>
        <v/>
      </c>
      <c r="K23" s="17" t="inlineStr">
        <is>
          <t>Fórmula</t>
        </is>
      </c>
      <c r="L23" s="9" t="inlineStr">
        <is>
          <t>P/2</t>
        </is>
      </c>
      <c r="M23" s="9" t="inlineStr">
        <is>
          <t>Reacción Fz en el nudo 2 · combinación «C1: 1,0·D»</t>
        </is>
      </c>
      <c r="N23" s="9" t="inlineStr"/>
    </row>
    <row r="24" ht="16" customHeight="1">
      <c r="A24" s="17" t="n">
        <v>8</v>
      </c>
      <c r="B24" s="8" t="inlineStr">
        <is>
          <t>Reacción horizontal en A</t>
        </is>
      </c>
      <c r="C24" s="17" t="inlineStr">
        <is>
          <t>kN</t>
        </is>
      </c>
      <c r="D24" s="33">
        <f>0</f>
        <v/>
      </c>
      <c r="E24" s="34" t="n">
        <v>-1.818989403545857e-15</v>
      </c>
      <c r="F24" s="27">
        <f>E24-D24</f>
        <v/>
      </c>
      <c r="G24" s="28">
        <f>IF(ABS(D24)&gt;0.000000000001,F24/D24,"—")</f>
        <v/>
      </c>
      <c r="H24" s="29" t="n">
        <v>0.0001</v>
      </c>
      <c r="I24" s="30" t="n">
        <v>1e-06</v>
      </c>
      <c r="J24" s="31">
        <f>IF(ABS(F24)&lt;=MAX(H24*ABS(D24),I24),"OK","NO")</f>
        <v/>
      </c>
      <c r="K24" s="17" t="inlineStr">
        <is>
          <t>Fórmula</t>
        </is>
      </c>
      <c r="L24" s="9" t="inlineStr">
        <is>
          <t>0</t>
        </is>
      </c>
      <c r="M24" s="9" t="inlineStr">
        <is>
          <t>Reacción Fx en el nudo 1 · combinación «C1: 1,0·D»</t>
        </is>
      </c>
      <c r="N24" s="9" t="inlineStr"/>
    </row>
    <row r="26">
      <c r="B26" s="4" t="inlineStr">
        <is>
          <t>Comprobaciones dentro de tolerancia</t>
        </is>
      </c>
      <c r="D26" s="4">
        <f>COUNTIF(J17:J24,"OK")</f>
        <v/>
      </c>
      <c r="E26" s="4">
        <f>ROWS(J17:J24)</f>
        <v/>
      </c>
      <c r="F26" s="4">
        <f>IF(D26=E26,"VERIFICA","DIFIERE")</f>
        <v/>
      </c>
    </row>
    <row r="27">
      <c r="B27" s="2" t="inlineStr">
        <is>
          <t>Azul = dato ingresado o valor que entregó el programa (pegado); negro = fórmula de Excel. El valor «Programa» es el resultado del motor de cálculo de la app para el mismo modelo.</t>
        </is>
      </c>
    </row>
  </sheetData>
  <mergeCells count="1">
    <mergeCell ref="A3:L3"/>
  </mergeCells>
  <conditionalFormatting sqref="J17:J24">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21.xml><?xml version="1.0" encoding="utf-8"?>
<worksheet xmlns="http://schemas.openxmlformats.org/spreadsheetml/2006/main">
  <sheetPr>
    <outlinePr summaryBelow="1" summaryRight="1"/>
    <pageSetUpPr fitToPage="1"/>
  </sheetPr>
  <dimension ref="A1:N29"/>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C09 · Reticulado espacial: trípode con carga vertical y horizontal</t>
        </is>
      </c>
    </row>
    <row r="2">
      <c r="A2" s="2" t="inlineStr">
        <is>
          <t>Solución clásica.  Fuente: Soluciones clásicas de resistencia de materiales y análisis estructural (tablas de vigas, método de pendiente-deflexión, método de los nudos, castigliano)</t>
        </is>
      </c>
    </row>
    <row r="3" ht="30" customHeight="1">
      <c r="A3" s="14" t="inlineStr">
        <is>
          <t>Enunciado. Tres barras articuladas (A = 500 mm²) unen un vértice a 2,50 m de altura con tres apoyos articulados en un círculo de 2,00 m de radio, a 120° entre sí. En el vértice actúan 30 kN hacia abajo y 12 kN horizontal en X. Esfuerzos por equilibrio espacial del nudo y desplazamientos del vértice por trabajos virtuales.</t>
        </is>
      </c>
    </row>
    <row r="5">
      <c r="A5" s="22" t="inlineStr">
        <is>
          <t>DATOS DEL EJERCICIO</t>
        </is>
      </c>
      <c r="B5" s="22" t="n"/>
      <c r="C5" s="22" t="n"/>
      <c r="D5" s="22" t="n"/>
      <c r="E5" s="22" t="n"/>
      <c r="F5" s="22" t="n"/>
      <c r="G5" s="22" t="n"/>
      <c r="H5" s="22" t="n"/>
      <c r="I5" s="22" t="n"/>
      <c r="J5" s="22" t="n"/>
      <c r="K5" s="22" t="n"/>
      <c r="L5" s="22" t="n"/>
      <c r="M5" s="22" t="n"/>
      <c r="N5" s="22" t="n"/>
    </row>
    <row r="6">
      <c r="A6" s="5" t="inlineStr">
        <is>
          <t>#</t>
        </is>
      </c>
      <c r="B6" s="5" t="inlineStr">
        <is>
          <t>Dato</t>
        </is>
      </c>
      <c r="C6" s="5" t="inlineStr">
        <is>
          <t>Unidad</t>
        </is>
      </c>
      <c r="D6" s="5" t="inlineStr">
        <is>
          <t>Valor</t>
        </is>
      </c>
      <c r="K6" s="5" t="inlineStr">
        <is>
          <t>Símbolo</t>
        </is>
      </c>
      <c r="L6" s="5" t="inlineStr">
        <is>
          <t>Fórmula (texto)</t>
        </is>
      </c>
    </row>
    <row r="7">
      <c r="A7" s="17" t="n">
        <v>1</v>
      </c>
      <c r="B7" s="8" t="inlineStr">
        <is>
          <t>Módulo elástico</t>
        </is>
      </c>
      <c r="C7" s="17" t="inlineStr">
        <is>
          <t>MPa</t>
        </is>
      </c>
      <c r="D7" s="23" t="n">
        <v>200000</v>
      </c>
      <c r="K7" s="17" t="inlineStr">
        <is>
          <t>E</t>
        </is>
      </c>
      <c r="L7" s="24" t="inlineStr">
        <is>
          <t>dato ingresado</t>
        </is>
      </c>
    </row>
    <row r="8">
      <c r="A8" s="17" t="n">
        <v>2</v>
      </c>
      <c r="B8" s="8" t="inlineStr">
        <is>
          <t>Radio de la base</t>
        </is>
      </c>
      <c r="C8" s="17" t="inlineStr">
        <is>
          <t>mm</t>
        </is>
      </c>
      <c r="D8" s="23" t="n">
        <v>2000</v>
      </c>
      <c r="K8" s="17" t="inlineStr">
        <is>
          <t>R</t>
        </is>
      </c>
      <c r="L8" s="24" t="inlineStr">
        <is>
          <t>dato ingresado</t>
        </is>
      </c>
    </row>
    <row r="9">
      <c r="A9" s="17" t="n">
        <v>3</v>
      </c>
      <c r="B9" s="8" t="inlineStr">
        <is>
          <t>Altura del vértice</t>
        </is>
      </c>
      <c r="C9" s="17" t="inlineStr">
        <is>
          <t>mm</t>
        </is>
      </c>
      <c r="D9" s="23" t="n">
        <v>2500</v>
      </c>
      <c r="K9" s="17" t="inlineStr">
        <is>
          <t>Ht</t>
        </is>
      </c>
      <c r="L9" s="24" t="inlineStr">
        <is>
          <t>dato ingresado</t>
        </is>
      </c>
    </row>
    <row r="10">
      <c r="A10" s="17" t="n">
        <v>4</v>
      </c>
      <c r="B10" s="8" t="inlineStr">
        <is>
          <t>Área de cada barra</t>
        </is>
      </c>
      <c r="C10" s="17" t="inlineStr">
        <is>
          <t>mm²</t>
        </is>
      </c>
      <c r="D10" s="25" t="n">
        <v>500</v>
      </c>
      <c r="K10" s="17" t="inlineStr">
        <is>
          <t>A</t>
        </is>
      </c>
      <c r="L10" s="24" t="inlineStr">
        <is>
          <t>dato ingresado</t>
        </is>
      </c>
    </row>
    <row r="11">
      <c r="A11" s="17" t="n">
        <v>5</v>
      </c>
      <c r="B11" s="8" t="inlineStr">
        <is>
          <t>Carga vertical (hacia abajo)</t>
        </is>
      </c>
      <c r="C11" s="17" t="inlineStr">
        <is>
          <t>kN</t>
        </is>
      </c>
      <c r="D11" s="25" t="n">
        <v>30</v>
      </c>
      <c r="K11" s="17" t="inlineStr">
        <is>
          <t>P</t>
        </is>
      </c>
      <c r="L11" s="24" t="inlineStr">
        <is>
          <t>dato ingresado</t>
        </is>
      </c>
    </row>
    <row r="12">
      <c r="A12" s="17" t="n">
        <v>6</v>
      </c>
      <c r="B12" s="8" t="inlineStr">
        <is>
          <t>Carga horizontal en X</t>
        </is>
      </c>
      <c r="C12" s="17" t="inlineStr">
        <is>
          <t>kN</t>
        </is>
      </c>
      <c r="D12" s="25" t="n">
        <v>12</v>
      </c>
      <c r="K12" s="17" t="inlineStr">
        <is>
          <t>Hx</t>
        </is>
      </c>
      <c r="L12" s="24" t="inlineStr">
        <is>
          <t>dato ingresado</t>
        </is>
      </c>
    </row>
    <row r="13">
      <c r="A13" s="17" t="n">
        <v>7</v>
      </c>
      <c r="B13" s="8" t="inlineStr">
        <is>
          <t>Longitud de cada barra</t>
        </is>
      </c>
      <c r="C13" s="17" t="inlineStr">
        <is>
          <t>mm</t>
        </is>
      </c>
      <c r="D13" s="38">
        <f>SQRT($D$8^2+$D$9^2)</f>
        <v/>
      </c>
      <c r="K13" s="17" t="inlineStr">
        <is>
          <t>Lc</t>
        </is>
      </c>
      <c r="L13" s="24" t="inlineStr">
        <is>
          <t>valor = SQRT(R^2+Ht^2)</t>
        </is>
      </c>
    </row>
    <row r="14">
      <c r="A14" s="17" t="n">
        <v>8</v>
      </c>
      <c r="B14" s="8" t="inlineStr">
        <is>
          <t>cos de la inclinación respecto de la vertical (R/Lc)</t>
        </is>
      </c>
      <c r="C14" s="17" t="inlineStr"/>
      <c r="D14" s="36">
        <f>$D$8/$D$13</f>
        <v/>
      </c>
      <c r="K14" s="17" t="inlineStr">
        <is>
          <t>a</t>
        </is>
      </c>
      <c r="L14" s="24" t="inlineStr">
        <is>
          <t>valor = R/Lc</t>
        </is>
      </c>
    </row>
    <row r="15">
      <c r="A15" s="17" t="n">
        <v>9</v>
      </c>
      <c r="B15" s="8" t="inlineStr">
        <is>
          <t>sen de la inclinación sobre la horizontal (H/Lc)</t>
        </is>
      </c>
      <c r="C15" s="17" t="inlineStr"/>
      <c r="D15" s="36">
        <f>$D$9/$D$13</f>
        <v/>
      </c>
      <c r="K15" s="17" t="inlineStr">
        <is>
          <t>b</t>
        </is>
      </c>
      <c r="L15" s="24" t="inlineStr">
        <is>
          <t>valor = Ht/Lc</t>
        </is>
      </c>
    </row>
    <row r="17">
      <c r="A17" s="22" t="inlineStr">
        <is>
          <t>COMPARACIÓN: TEORÍA / DATO PUBLICADO  vs  PROGRAMA (Atlas Estructuras 3D)</t>
        </is>
      </c>
      <c r="B17" s="22" t="n"/>
      <c r="C17" s="22" t="n"/>
      <c r="D17" s="22" t="n"/>
      <c r="E17" s="22" t="n"/>
      <c r="F17" s="22" t="n"/>
      <c r="G17" s="22" t="n"/>
      <c r="H17" s="22" t="n"/>
      <c r="I17" s="22" t="n"/>
      <c r="J17" s="22" t="n"/>
      <c r="K17" s="22" t="n"/>
      <c r="L17" s="22" t="n"/>
      <c r="M17" s="22" t="n"/>
      <c r="N17" s="22" t="n"/>
    </row>
    <row r="18" ht="30" customHeight="1">
      <c r="A18" s="5" t="inlineStr">
        <is>
          <t>#</t>
        </is>
      </c>
      <c r="B18" s="5" t="inlineStr">
        <is>
          <t>Comprobación</t>
        </is>
      </c>
      <c r="C18" s="5" t="inlineStr">
        <is>
          <t>Unidad</t>
        </is>
      </c>
      <c r="D18" s="5" t="inlineStr">
        <is>
          <t>Teoría / publicado</t>
        </is>
      </c>
      <c r="E18" s="5" t="inlineStr">
        <is>
          <t>Programa</t>
        </is>
      </c>
      <c r="F18" s="5" t="inlineStr">
        <is>
          <t>Diferencia (prog. − teoría)</t>
        </is>
      </c>
      <c r="G18" s="5" t="inlineStr">
        <is>
          <t>Error relativo</t>
        </is>
      </c>
      <c r="H18" s="5" t="inlineStr">
        <is>
          <t>Tol. relativa</t>
        </is>
      </c>
      <c r="I18" s="5" t="inlineStr">
        <is>
          <t>Tol. absoluta</t>
        </is>
      </c>
      <c r="J18" s="5" t="inlineStr">
        <is>
          <t>Estado</t>
        </is>
      </c>
      <c r="K18" s="5" t="inlineStr">
        <is>
          <t>Origen</t>
        </is>
      </c>
      <c r="L18" s="5" t="inlineStr">
        <is>
          <t>Expresión de la teoría (texto)</t>
        </is>
      </c>
      <c r="M18" s="5" t="inlineStr">
        <is>
          <t>Dónde se lee en el programa</t>
        </is>
      </c>
      <c r="N18" s="5" t="inlineStr">
        <is>
          <t>Nota</t>
        </is>
      </c>
    </row>
    <row r="19" ht="28" customHeight="1">
      <c r="A19" s="17" t="n">
        <v>1</v>
      </c>
      <c r="B19" s="8" t="inlineStr">
        <is>
          <t>Axil barra 1 (base a 90°)</t>
        </is>
      </c>
      <c r="C19" s="17" t="inlineStr">
        <is>
          <t>kN</t>
        </is>
      </c>
      <c r="D19" s="26">
        <f>-$D$11/(3*$D$15)</f>
        <v/>
      </c>
      <c r="E19" s="25" t="n">
        <v>-12.8062484748657</v>
      </c>
      <c r="F19" s="27">
        <f>E19-D19</f>
        <v/>
      </c>
      <c r="G19" s="28">
        <f>IF(ABS(D19)&gt;0.000000000001,F19/D19,"—")</f>
        <v/>
      </c>
      <c r="H19" s="29" t="n">
        <v>0.0001</v>
      </c>
      <c r="I19" s="30" t="n">
        <v>1e-06</v>
      </c>
      <c r="J19" s="31">
        <f>IF(ABS(F19)&lt;=MAX(H19*ABS(D19),I19),"OK","NO")</f>
        <v/>
      </c>
      <c r="K19" s="17" t="inlineStr">
        <is>
          <t>Fórmula</t>
        </is>
      </c>
      <c r="L19" s="9" t="inlineStr">
        <is>
          <t>-P/(3*b)</t>
        </is>
      </c>
      <c r="M19" s="9" t="inlineStr">
        <is>
          <t>Barra 1, en x = 0.5·L, esfuerzo axil N (tracción +) · combinación «C1: D + Hx»</t>
        </is>
      </c>
      <c r="N19" s="9" t="inlineStr"/>
    </row>
    <row r="20" ht="28" customHeight="1">
      <c r="A20" s="17" t="n">
        <v>2</v>
      </c>
      <c r="B20" s="8" t="inlineStr">
        <is>
          <t>Axil barra 2 (base a 210°)</t>
        </is>
      </c>
      <c r="C20" s="17" t="inlineStr">
        <is>
          <t>kN</t>
        </is>
      </c>
      <c r="D20" s="26">
        <f>-$D$11/(3*$D$15)-2*$D$12/(3*$D$14)*COS(7*PI()/6)</f>
        <v/>
      </c>
      <c r="E20" s="25" t="n">
        <v>-1.715711968456277</v>
      </c>
      <c r="F20" s="27">
        <f>E20-D20</f>
        <v/>
      </c>
      <c r="G20" s="28">
        <f>IF(ABS(D20)&gt;0.000000000001,F20/D20,"—")</f>
        <v/>
      </c>
      <c r="H20" s="29" t="n">
        <v>0.0001</v>
      </c>
      <c r="I20" s="30" t="n">
        <v>1e-06</v>
      </c>
      <c r="J20" s="31">
        <f>IF(ABS(F20)&lt;=MAX(H20*ABS(D20),I20),"OK","NO")</f>
        <v/>
      </c>
      <c r="K20" s="17" t="inlineStr">
        <is>
          <t>Fórmula</t>
        </is>
      </c>
      <c r="L20" s="9" t="inlineStr">
        <is>
          <t>-P/(3*b)-2*Hx/(3*a)*COS(7*PI()/6)</t>
        </is>
      </c>
      <c r="M20" s="9" t="inlineStr">
        <is>
          <t>Barra 2, en x = 0.5·L, esfuerzo axil N (tracción +) · combinación «C1: D + Hx»</t>
        </is>
      </c>
      <c r="N20" s="9" t="inlineStr"/>
    </row>
    <row r="21" ht="28" customHeight="1">
      <c r="A21" s="17" t="n">
        <v>3</v>
      </c>
      <c r="B21" s="8" t="inlineStr">
        <is>
          <t>Axil barra 3 (base a 330°)</t>
        </is>
      </c>
      <c r="C21" s="17" t="inlineStr">
        <is>
          <t>kN</t>
        </is>
      </c>
      <c r="D21" s="26">
        <f>-$D$11/(3*$D$15)-2*$D$12/(3*$D$14)*COS(11*PI()/6)</f>
        <v/>
      </c>
      <c r="E21" s="25" t="n">
        <v>-23.89678498127511</v>
      </c>
      <c r="F21" s="27">
        <f>E21-D21</f>
        <v/>
      </c>
      <c r="G21" s="28">
        <f>IF(ABS(D21)&gt;0.000000000001,F21/D21,"—")</f>
        <v/>
      </c>
      <c r="H21" s="29" t="n">
        <v>0.0001</v>
      </c>
      <c r="I21" s="30" t="n">
        <v>1e-06</v>
      </c>
      <c r="J21" s="31">
        <f>IF(ABS(F21)&lt;=MAX(H21*ABS(D21),I21),"OK","NO")</f>
        <v/>
      </c>
      <c r="K21" s="17" t="inlineStr">
        <is>
          <t>Fórmula</t>
        </is>
      </c>
      <c r="L21" s="9" t="inlineStr">
        <is>
          <t>-P/(3*b)-2*Hx/(3*a)*COS(11*PI()/6)</t>
        </is>
      </c>
      <c r="M21" s="9" t="inlineStr">
        <is>
          <t>Barra 3, en x = 0.5·L, esfuerzo axil N (tracción +) · combinación «C1: D + Hx»</t>
        </is>
      </c>
      <c r="N21" s="9" t="inlineStr"/>
    </row>
    <row r="22" ht="16" customHeight="1">
      <c r="A22" s="17" t="n">
        <v>4</v>
      </c>
      <c r="B22" s="8" t="inlineStr">
        <is>
          <t>Descenso del vértice</t>
        </is>
      </c>
      <c r="C22" s="17" t="inlineStr">
        <is>
          <t>mm</t>
        </is>
      </c>
      <c r="D22" s="36">
        <f>-$D$11*1000*$D$13/(3*$D$15^2*$D$7*$D$10)</f>
        <v/>
      </c>
      <c r="E22" s="37" t="n">
        <v>-0.5250561874694935</v>
      </c>
      <c r="F22" s="27">
        <f>E22-D22</f>
        <v/>
      </c>
      <c r="G22" s="28">
        <f>IF(ABS(D22)&gt;0.000000000001,F22/D22,"—")</f>
        <v/>
      </c>
      <c r="H22" s="29" t="n">
        <v>0.0001</v>
      </c>
      <c r="I22" s="30" t="n">
        <v>1e-06</v>
      </c>
      <c r="J22" s="31">
        <f>IF(ABS(F22)&lt;=MAX(H22*ABS(D22),I22),"OK","NO")</f>
        <v/>
      </c>
      <c r="K22" s="17" t="inlineStr">
        <is>
          <t>Fórmula</t>
        </is>
      </c>
      <c r="L22" s="9" t="inlineStr">
        <is>
          <t>-P*1000*Lc/(3*b^2*E*A)</t>
        </is>
      </c>
      <c r="M22" s="9" t="inlineStr">
        <is>
          <t>Desplazamiento Uz del nudo 1 · combinación «C1: D + Hx»</t>
        </is>
      </c>
      <c r="N22" s="9" t="inlineStr"/>
    </row>
    <row r="23" ht="16" customHeight="1">
      <c r="A23" s="17" t="n">
        <v>5</v>
      </c>
      <c r="B23" s="8" t="inlineStr">
        <is>
          <t>Corrimiento horizontal del vértice en X</t>
        </is>
      </c>
      <c r="C23" s="17" t="inlineStr">
        <is>
          <t>mm</t>
        </is>
      </c>
      <c r="D23" s="36">
        <f>2*$D$12*1000*$D$13/(3*$D$14^2*$D$7*$D$10)</f>
        <v/>
      </c>
      <c r="E23" s="37" t="n">
        <v>0.656320234336867</v>
      </c>
      <c r="F23" s="27">
        <f>E23-D23</f>
        <v/>
      </c>
      <c r="G23" s="28">
        <f>IF(ABS(D23)&gt;0.000000000001,F23/D23,"—")</f>
        <v/>
      </c>
      <c r="H23" s="29" t="n">
        <v>0.0001</v>
      </c>
      <c r="I23" s="30" t="n">
        <v>1e-06</v>
      </c>
      <c r="J23" s="31">
        <f>IF(ABS(F23)&lt;=MAX(H23*ABS(D23),I23),"OK","NO")</f>
        <v/>
      </c>
      <c r="K23" s="17" t="inlineStr">
        <is>
          <t>Fórmula</t>
        </is>
      </c>
      <c r="L23" s="9" t="inlineStr">
        <is>
          <t>2*Hx*1000*Lc/(3*a^2*E*A)</t>
        </is>
      </c>
      <c r="M23" s="9" t="inlineStr">
        <is>
          <t>Desplazamiento Ux del nudo 1 · combinación «C1: D + Hx»</t>
        </is>
      </c>
      <c r="N23" s="9" t="inlineStr"/>
    </row>
    <row r="24" ht="16" customHeight="1">
      <c r="A24" s="17" t="n">
        <v>6</v>
      </c>
      <c r="B24" s="8" t="inlineStr">
        <is>
          <t>Corrimiento horizontal del vértice en Y</t>
        </is>
      </c>
      <c r="C24" s="17" t="inlineStr">
        <is>
          <t>mm</t>
        </is>
      </c>
      <c r="D24" s="36">
        <f>0</f>
        <v/>
      </c>
      <c r="E24" s="37" t="n">
        <v>0</v>
      </c>
      <c r="F24" s="27">
        <f>E24-D24</f>
        <v/>
      </c>
      <c r="G24" s="28">
        <f>IF(ABS(D24)&gt;0.000000000001,F24/D24,"—")</f>
        <v/>
      </c>
      <c r="H24" s="29" t="n">
        <v>0.0001</v>
      </c>
      <c r="I24" s="30" t="n">
        <v>1e-06</v>
      </c>
      <c r="J24" s="31">
        <f>IF(ABS(F24)&lt;=MAX(H24*ABS(D24),I24),"OK","NO")</f>
        <v/>
      </c>
      <c r="K24" s="17" t="inlineStr">
        <is>
          <t>Fórmula</t>
        </is>
      </c>
      <c r="L24" s="9" t="inlineStr">
        <is>
          <t>0</t>
        </is>
      </c>
      <c r="M24" s="9" t="inlineStr">
        <is>
          <t>Desplazamiento Uy del nudo 1 · combinación «C1: D + Hx»</t>
        </is>
      </c>
      <c r="N24" s="9" t="inlineStr"/>
    </row>
    <row r="25" ht="28" customHeight="1">
      <c r="A25" s="17" t="n">
        <v>7</v>
      </c>
      <c r="B25" s="8" t="inlineStr">
        <is>
          <t>Suma de reacciones verticales</t>
        </is>
      </c>
      <c r="C25" s="17" t="inlineStr">
        <is>
          <t>kN</t>
        </is>
      </c>
      <c r="D25" s="26">
        <f>$D$11</f>
        <v/>
      </c>
      <c r="E25" s="25" t="n">
        <v>30</v>
      </c>
      <c r="F25" s="27">
        <f>E25-D25</f>
        <v/>
      </c>
      <c r="G25" s="28">
        <f>IF(ABS(D25)&gt;0.000000000001,F25/D25,"—")</f>
        <v/>
      </c>
      <c r="H25" s="29" t="n">
        <v>0.0001</v>
      </c>
      <c r="I25" s="30" t="n">
        <v>1e-06</v>
      </c>
      <c r="J25" s="31">
        <f>IF(ABS(F25)&lt;=MAX(H25*ABS(D25),I25),"OK","NO")</f>
        <v/>
      </c>
      <c r="K25" s="17" t="inlineStr">
        <is>
          <t>Fórmula</t>
        </is>
      </c>
      <c r="L25" s="9" t="inlineStr">
        <is>
          <t>P</t>
        </is>
      </c>
      <c r="M25" s="9" t="inlineStr">
        <is>
          <t>Suma de reacciones Fz en los nudos 2, 3, 4 · combinación «C1: D + Hx»</t>
        </is>
      </c>
      <c r="N25" s="9" t="inlineStr"/>
    </row>
    <row r="26" ht="28" customHeight="1">
      <c r="A26" s="17" t="n">
        <v>8</v>
      </c>
      <c r="B26" s="8" t="inlineStr">
        <is>
          <t>Suma de reacciones horizontales en X</t>
        </is>
      </c>
      <c r="C26" s="17" t="inlineStr">
        <is>
          <t>kN</t>
        </is>
      </c>
      <c r="D26" s="26">
        <f>-$D$12</f>
        <v/>
      </c>
      <c r="E26" s="25" t="n">
        <v>-12</v>
      </c>
      <c r="F26" s="27">
        <f>E26-D26</f>
        <v/>
      </c>
      <c r="G26" s="28">
        <f>IF(ABS(D26)&gt;0.000000000001,F26/D26,"—")</f>
        <v/>
      </c>
      <c r="H26" s="29" t="n">
        <v>0.0001</v>
      </c>
      <c r="I26" s="30" t="n">
        <v>1e-06</v>
      </c>
      <c r="J26" s="31">
        <f>IF(ABS(F26)&lt;=MAX(H26*ABS(D26),I26),"OK","NO")</f>
        <v/>
      </c>
      <c r="K26" s="17" t="inlineStr">
        <is>
          <t>Fórmula</t>
        </is>
      </c>
      <c r="L26" s="9" t="inlineStr">
        <is>
          <t>-Hx</t>
        </is>
      </c>
      <c r="M26" s="9" t="inlineStr">
        <is>
          <t>Suma de reacciones Fx en los nudos 2, 3, 4 · combinación «C1: D + Hx»</t>
        </is>
      </c>
      <c r="N26" s="9" t="inlineStr"/>
    </row>
    <row r="28">
      <c r="B28" s="4" t="inlineStr">
        <is>
          <t>Comprobaciones dentro de tolerancia</t>
        </is>
      </c>
      <c r="D28" s="4">
        <f>COUNTIF(J19:J26,"OK")</f>
        <v/>
      </c>
      <c r="E28" s="4">
        <f>ROWS(J19:J26)</f>
        <v/>
      </c>
      <c r="F28" s="4">
        <f>IF(D28=E28,"VERIFICA","DIFIERE")</f>
        <v/>
      </c>
    </row>
    <row r="29">
      <c r="B29" s="2" t="inlineStr">
        <is>
          <t>Azul = dato ingresado o valor que entregó el programa (pegado); negro = fórmula de Excel. El valor «Programa» es el resultado del motor de cálculo de la app para el mismo modelo.</t>
        </is>
      </c>
    </row>
  </sheetData>
  <mergeCells count="1">
    <mergeCell ref="A3:L3"/>
  </mergeCells>
  <conditionalFormatting sqref="J19:J26">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22.xml><?xml version="1.0" encoding="utf-8"?>
<worksheet xmlns="http://schemas.openxmlformats.org/spreadsheetml/2006/main">
  <sheetPr>
    <outlinePr summaryBelow="1" summaryRight="1"/>
    <pageSetUpPr fitToPage="1"/>
  </sheetPr>
  <dimension ref="A1:N30"/>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C10 · Pórtico plano articulado en la base con carga lateral</t>
        </is>
      </c>
    </row>
    <row r="2">
      <c r="A2" s="2" t="inlineStr">
        <is>
          <t>Solución clásica.  Fuente: Soluciones clásicas de resistencia de materiales y análisis estructural (tablas de vigas, método de pendiente-deflexión, método de los nudos, castigliano)</t>
        </is>
      </c>
    </row>
    <row r="3" ht="54" customHeight="1">
      <c r="A3" s="14" t="inlineStr">
        <is>
          <t>Enunciado. Columnas IPE 200 de 3,50 m articuladas en la base y viga IPE 300 de 5,00 m. Fuerza horizontal de 20 kN en el nudo superior izquierdo. Solución por pendiente-deflexión (nudos con giro y desplazamiento lateral, barras inextensibles): Δ = H·h²(a+b)/(2ab) con a = 3EIc/h y b = 6EIb/L. Se usan las inercias de tabla con área ficticia muy grande (barras inextensibles) porque la solución clásica desprecia la deformación axial; con las áreas reales de los IPE el programa se aparta de esta solución hasta un 2,3 % (giro de los nudos), diferencia atribuible a esa deformación y no a un error de cálculo.</t>
        </is>
      </c>
    </row>
    <row r="5">
      <c r="A5" s="22" t="inlineStr">
        <is>
          <t>DATOS DEL EJERCICIO</t>
        </is>
      </c>
      <c r="B5" s="22" t="n"/>
      <c r="C5" s="22" t="n"/>
      <c r="D5" s="22" t="n"/>
      <c r="E5" s="22" t="n"/>
      <c r="F5" s="22" t="n"/>
      <c r="G5" s="22" t="n"/>
      <c r="H5" s="22" t="n"/>
      <c r="I5" s="22" t="n"/>
      <c r="J5" s="22" t="n"/>
      <c r="K5" s="22" t="n"/>
      <c r="L5" s="22" t="n"/>
      <c r="M5" s="22" t="n"/>
      <c r="N5" s="22" t="n"/>
    </row>
    <row r="6">
      <c r="A6" s="5" t="inlineStr">
        <is>
          <t>#</t>
        </is>
      </c>
      <c r="B6" s="5" t="inlineStr">
        <is>
          <t>Dato</t>
        </is>
      </c>
      <c r="C6" s="5" t="inlineStr">
        <is>
          <t>Unidad</t>
        </is>
      </c>
      <c r="D6" s="5" t="inlineStr">
        <is>
          <t>Valor</t>
        </is>
      </c>
      <c r="K6" s="5" t="inlineStr">
        <is>
          <t>Símbolo</t>
        </is>
      </c>
      <c r="L6" s="5" t="inlineStr">
        <is>
          <t>Fórmula (texto)</t>
        </is>
      </c>
    </row>
    <row r="7">
      <c r="A7" s="17" t="n">
        <v>1</v>
      </c>
      <c r="B7" s="8" t="inlineStr">
        <is>
          <t>Módulo elástico</t>
        </is>
      </c>
      <c r="C7" s="17" t="inlineStr">
        <is>
          <t>MPa</t>
        </is>
      </c>
      <c r="D7" s="23" t="n">
        <v>200000</v>
      </c>
      <c r="K7" s="17" t="inlineStr">
        <is>
          <t>E</t>
        </is>
      </c>
      <c r="L7" s="24" t="inlineStr">
        <is>
          <t>dato ingresado</t>
        </is>
      </c>
    </row>
    <row r="8">
      <c r="A8" s="17" t="n">
        <v>2</v>
      </c>
      <c r="B8" s="8" t="inlineStr">
        <is>
          <t>Fuerza horizontal en el nudo 2</t>
        </is>
      </c>
      <c r="C8" s="17" t="inlineStr">
        <is>
          <t>kN</t>
        </is>
      </c>
      <c r="D8" s="25" t="n">
        <v>20</v>
      </c>
      <c r="K8" s="17" t="inlineStr">
        <is>
          <t>H</t>
        </is>
      </c>
      <c r="L8" s="24" t="inlineStr">
        <is>
          <t>dato ingresado</t>
        </is>
      </c>
    </row>
    <row r="9">
      <c r="A9" s="17" t="n">
        <v>3</v>
      </c>
      <c r="B9" s="8" t="inlineStr">
        <is>
          <t>Altura de las columnas</t>
        </is>
      </c>
      <c r="C9" s="17" t="inlineStr">
        <is>
          <t>mm</t>
        </is>
      </c>
      <c r="D9" s="23" t="n">
        <v>3500</v>
      </c>
      <c r="K9" s="17" t="inlineStr">
        <is>
          <t>h</t>
        </is>
      </c>
      <c r="L9" s="24" t="inlineStr">
        <is>
          <t>dato ingresado</t>
        </is>
      </c>
    </row>
    <row r="10">
      <c r="A10" s="17" t="n">
        <v>4</v>
      </c>
      <c r="B10" s="8" t="inlineStr">
        <is>
          <t>Luz de la viga</t>
        </is>
      </c>
      <c r="C10" s="17" t="inlineStr">
        <is>
          <t>mm</t>
        </is>
      </c>
      <c r="D10" s="23" t="n">
        <v>5000</v>
      </c>
      <c r="K10" s="17" t="inlineStr">
        <is>
          <t>L</t>
        </is>
      </c>
      <c r="L10" s="24" t="inlineStr">
        <is>
          <t>dato ingresado</t>
        </is>
      </c>
    </row>
    <row r="11">
      <c r="A11" s="17" t="n">
        <v>5</v>
      </c>
      <c r="B11" s="8" t="inlineStr">
        <is>
          <t>Inercia de las columnas (IPE 200: 1943 cm⁴)</t>
        </is>
      </c>
      <c r="C11" s="17" t="inlineStr">
        <is>
          <t>mm⁴</t>
        </is>
      </c>
      <c r="D11" s="35" t="n">
        <v>19430000</v>
      </c>
      <c r="K11" s="17" t="inlineStr">
        <is>
          <t>Ic</t>
        </is>
      </c>
      <c r="L11" s="24" t="inlineStr">
        <is>
          <t>dato ingresado</t>
        </is>
      </c>
    </row>
    <row r="12">
      <c r="A12" s="17" t="n">
        <v>6</v>
      </c>
      <c r="B12" s="8" t="inlineStr">
        <is>
          <t>Inercia de la viga (IPE 300: 8356 cm⁴)</t>
        </is>
      </c>
      <c r="C12" s="17" t="inlineStr">
        <is>
          <t>mm⁴</t>
        </is>
      </c>
      <c r="D12" s="35" t="n">
        <v>83560000</v>
      </c>
      <c r="K12" s="17" t="inlineStr">
        <is>
          <t>Ib</t>
        </is>
      </c>
      <c r="L12" s="24" t="inlineStr">
        <is>
          <t>dato ingresado</t>
        </is>
      </c>
    </row>
    <row r="13">
      <c r="A13" s="17" t="n">
        <v>7</v>
      </c>
      <c r="B13" s="8" t="inlineStr">
        <is>
          <t>Rigidez EI/h de la columna</t>
        </is>
      </c>
      <c r="C13" s="17" t="inlineStr">
        <is>
          <t>N·mm</t>
        </is>
      </c>
      <c r="D13" s="27">
        <f>$D$7*$D$11/$D$9</f>
        <v/>
      </c>
      <c r="K13" s="17" t="inlineStr">
        <is>
          <t>Kc</t>
        </is>
      </c>
      <c r="L13" s="24" t="inlineStr">
        <is>
          <t>valor = E*Ic/h</t>
        </is>
      </c>
    </row>
    <row r="14">
      <c r="A14" s="17" t="n">
        <v>8</v>
      </c>
      <c r="B14" s="8" t="inlineStr">
        <is>
          <t>Rigidez EI/L de la viga</t>
        </is>
      </c>
      <c r="C14" s="17" t="inlineStr">
        <is>
          <t>N·mm</t>
        </is>
      </c>
      <c r="D14" s="27">
        <f>$D$7*$D$12/$D$10</f>
        <v/>
      </c>
      <c r="K14" s="17" t="inlineStr">
        <is>
          <t>Kb</t>
        </is>
      </c>
      <c r="L14" s="24" t="inlineStr">
        <is>
          <t>valor = E*Ib/L</t>
        </is>
      </c>
    </row>
    <row r="15">
      <c r="A15" s="17" t="n">
        <v>9</v>
      </c>
      <c r="B15" s="8" t="inlineStr">
        <is>
          <t>Rigidez lateral de la columna articulada</t>
        </is>
      </c>
      <c r="C15" s="17" t="inlineStr">
        <is>
          <t>N·mm</t>
        </is>
      </c>
      <c r="D15" s="27">
        <f>3*$D$13</f>
        <v/>
      </c>
      <c r="K15" s="17" t="inlineStr">
        <is>
          <t>a</t>
        </is>
      </c>
      <c r="L15" s="24" t="inlineStr">
        <is>
          <t>valor = 3*Kc</t>
        </is>
      </c>
    </row>
    <row r="16">
      <c r="A16" s="17" t="n">
        <v>10</v>
      </c>
      <c r="B16" s="8" t="inlineStr">
        <is>
          <t>Rigidez de la viga con giros iguales</t>
        </is>
      </c>
      <c r="C16" s="17" t="inlineStr">
        <is>
          <t>N·mm</t>
        </is>
      </c>
      <c r="D16" s="27">
        <f>6*$D$14</f>
        <v/>
      </c>
      <c r="K16" s="17" t="inlineStr">
        <is>
          <t>b</t>
        </is>
      </c>
      <c r="L16" s="24" t="inlineStr">
        <is>
          <t>valor = 6*Kb</t>
        </is>
      </c>
    </row>
    <row r="17">
      <c r="A17" s="17" t="n">
        <v>11</v>
      </c>
      <c r="B17" s="8" t="inlineStr">
        <is>
          <t>Desplazamiento lateral teórico</t>
        </is>
      </c>
      <c r="C17" s="17" t="inlineStr">
        <is>
          <t>mm</t>
        </is>
      </c>
      <c r="D17" s="26">
        <f>$D$8*1000*$D$9^2*($D$15+$D$16)/(2*$D$15*$D$16)</f>
        <v/>
      </c>
      <c r="K17" s="17" t="inlineStr">
        <is>
          <t>Dsw</t>
        </is>
      </c>
      <c r="L17" s="24" t="inlineStr">
        <is>
          <t>valor = H*1000*h^2*(a+b)/(2*a*b)</t>
        </is>
      </c>
    </row>
    <row r="19">
      <c r="A19" s="22" t="inlineStr">
        <is>
          <t>COMPARACIÓN: TEORÍA / DATO PUBLICADO  vs  PROGRAMA (Atlas Estructuras 3D)</t>
        </is>
      </c>
      <c r="B19" s="22" t="n"/>
      <c r="C19" s="22" t="n"/>
      <c r="D19" s="22" t="n"/>
      <c r="E19" s="22" t="n"/>
      <c r="F19" s="22" t="n"/>
      <c r="G19" s="22" t="n"/>
      <c r="H19" s="22" t="n"/>
      <c r="I19" s="22" t="n"/>
      <c r="J19" s="22" t="n"/>
      <c r="K19" s="22" t="n"/>
      <c r="L19" s="22" t="n"/>
      <c r="M19" s="22" t="n"/>
      <c r="N19" s="22" t="n"/>
    </row>
    <row r="20" ht="30" customHeight="1">
      <c r="A20" s="5" t="inlineStr">
        <is>
          <t>#</t>
        </is>
      </c>
      <c r="B20" s="5" t="inlineStr">
        <is>
          <t>Comprobación</t>
        </is>
      </c>
      <c r="C20" s="5" t="inlineStr">
        <is>
          <t>Unidad</t>
        </is>
      </c>
      <c r="D20" s="5" t="inlineStr">
        <is>
          <t>Teoría / publicado</t>
        </is>
      </c>
      <c r="E20" s="5" t="inlineStr">
        <is>
          <t>Programa</t>
        </is>
      </c>
      <c r="F20" s="5" t="inlineStr">
        <is>
          <t>Diferencia (prog. − teoría)</t>
        </is>
      </c>
      <c r="G20" s="5" t="inlineStr">
        <is>
          <t>Error relativo</t>
        </is>
      </c>
      <c r="H20" s="5" t="inlineStr">
        <is>
          <t>Tol. relativa</t>
        </is>
      </c>
      <c r="I20" s="5" t="inlineStr">
        <is>
          <t>Tol. absoluta</t>
        </is>
      </c>
      <c r="J20" s="5" t="inlineStr">
        <is>
          <t>Estado</t>
        </is>
      </c>
      <c r="K20" s="5" t="inlineStr">
        <is>
          <t>Origen</t>
        </is>
      </c>
      <c r="L20" s="5" t="inlineStr">
        <is>
          <t>Expresión de la teoría (texto)</t>
        </is>
      </c>
      <c r="M20" s="5" t="inlineStr">
        <is>
          <t>Dónde se lee en el programa</t>
        </is>
      </c>
      <c r="N20" s="5" t="inlineStr">
        <is>
          <t>Nota</t>
        </is>
      </c>
    </row>
    <row r="21" ht="16" customHeight="1">
      <c r="A21" s="17" t="n">
        <v>1</v>
      </c>
      <c r="B21" s="8" t="inlineStr">
        <is>
          <t>Desplazamiento lateral del nudo 2</t>
        </is>
      </c>
      <c r="C21" s="17" t="inlineStr">
        <is>
          <t>mm</t>
        </is>
      </c>
      <c r="D21" s="26">
        <f>$D$17</f>
        <v/>
      </c>
      <c r="E21" s="25" t="n">
        <v>42.88583139115494</v>
      </c>
      <c r="F21" s="27">
        <f>E21-D21</f>
        <v/>
      </c>
      <c r="G21" s="28">
        <f>IF(ABS(D21)&gt;0.000000000001,F21/D21,"—")</f>
        <v/>
      </c>
      <c r="H21" s="29" t="n">
        <v>0.0001</v>
      </c>
      <c r="I21" s="30" t="n">
        <v>1e-06</v>
      </c>
      <c r="J21" s="31">
        <f>IF(ABS(F21)&lt;=MAX(H21*ABS(D21),I21),"OK","NO")</f>
        <v/>
      </c>
      <c r="K21" s="17" t="inlineStr">
        <is>
          <t>Fórmula</t>
        </is>
      </c>
      <c r="L21" s="9" t="inlineStr">
        <is>
          <t>Dsw</t>
        </is>
      </c>
      <c r="M21" s="9" t="inlineStr">
        <is>
          <t>Desplazamiento Ux del nudo 2 · combinación «C1: 1,0·Hx»</t>
        </is>
      </c>
      <c r="N21" s="9" t="inlineStr"/>
    </row>
    <row r="22" ht="16" customHeight="1">
      <c r="A22" s="17" t="n">
        <v>2</v>
      </c>
      <c r="B22" s="8" t="inlineStr">
        <is>
          <t>Desplazamiento lateral del nudo 3</t>
        </is>
      </c>
      <c r="C22" s="17" t="inlineStr">
        <is>
          <t>mm</t>
        </is>
      </c>
      <c r="D22" s="26">
        <f>$D$17</f>
        <v/>
      </c>
      <c r="E22" s="25" t="n">
        <v>42.88578492277306</v>
      </c>
      <c r="F22" s="27">
        <f>E22-D22</f>
        <v/>
      </c>
      <c r="G22" s="28">
        <f>IF(ABS(D22)&gt;0.000000000001,F22/D22,"—")</f>
        <v/>
      </c>
      <c r="H22" s="29" t="n">
        <v>0.0001</v>
      </c>
      <c r="I22" s="30" t="n">
        <v>1e-06</v>
      </c>
      <c r="J22" s="31">
        <f>IF(ABS(F22)&lt;=MAX(H22*ABS(D22),I22),"OK","NO")</f>
        <v/>
      </c>
      <c r="K22" s="17" t="inlineStr">
        <is>
          <t>Fórmula</t>
        </is>
      </c>
      <c r="L22" s="9" t="inlineStr">
        <is>
          <t>Dsw</t>
        </is>
      </c>
      <c r="M22" s="9" t="inlineStr">
        <is>
          <t>Desplazamiento Ux del nudo 3 · combinación «C1: 1,0·Hx»</t>
        </is>
      </c>
      <c r="N22" s="9" t="inlineStr"/>
    </row>
    <row r="23" ht="16" customHeight="1">
      <c r="A23" s="17" t="n">
        <v>3</v>
      </c>
      <c r="B23" s="8" t="inlineStr">
        <is>
          <t>Reacción horizontal en el apoyo 1</t>
        </is>
      </c>
      <c r="C23" s="17" t="inlineStr">
        <is>
          <t>kN</t>
        </is>
      </c>
      <c r="D23" s="26">
        <f>-$D$8/2</f>
        <v/>
      </c>
      <c r="E23" s="25" t="n">
        <v>-10.00000421793044</v>
      </c>
      <c r="F23" s="27">
        <f>E23-D23</f>
        <v/>
      </c>
      <c r="G23" s="28">
        <f>IF(ABS(D23)&gt;0.000000000001,F23/D23,"—")</f>
        <v/>
      </c>
      <c r="H23" s="29" t="n">
        <v>0.0001</v>
      </c>
      <c r="I23" s="30" t="n">
        <v>1e-06</v>
      </c>
      <c r="J23" s="31">
        <f>IF(ABS(F23)&lt;=MAX(H23*ABS(D23),I23),"OK","NO")</f>
        <v/>
      </c>
      <c r="K23" s="17" t="inlineStr">
        <is>
          <t>Fórmula</t>
        </is>
      </c>
      <c r="L23" s="9" t="inlineStr">
        <is>
          <t>-H/2</t>
        </is>
      </c>
      <c r="M23" s="9" t="inlineStr">
        <is>
          <t>Reacción Fx en el nudo 1 · combinación «C1: 1,0·Hx»</t>
        </is>
      </c>
      <c r="N23" s="9" t="inlineStr"/>
    </row>
    <row r="24" ht="16" customHeight="1">
      <c r="A24" s="17" t="n">
        <v>4</v>
      </c>
      <c r="B24" s="8" t="inlineStr">
        <is>
          <t>Reacción horizontal en el apoyo 4</t>
        </is>
      </c>
      <c r="C24" s="17" t="inlineStr">
        <is>
          <t>kN</t>
        </is>
      </c>
      <c r="D24" s="26">
        <f>-$D$8/2</f>
        <v/>
      </c>
      <c r="E24" s="25" t="n">
        <v>-9.999995784846229</v>
      </c>
      <c r="F24" s="27">
        <f>E24-D24</f>
        <v/>
      </c>
      <c r="G24" s="28">
        <f>IF(ABS(D24)&gt;0.000000000001,F24/D24,"—")</f>
        <v/>
      </c>
      <c r="H24" s="29" t="n">
        <v>0.0001</v>
      </c>
      <c r="I24" s="30" t="n">
        <v>1e-06</v>
      </c>
      <c r="J24" s="31">
        <f>IF(ABS(F24)&lt;=MAX(H24*ABS(D24),I24),"OK","NO")</f>
        <v/>
      </c>
      <c r="K24" s="17" t="inlineStr">
        <is>
          <t>Fórmula</t>
        </is>
      </c>
      <c r="L24" s="9" t="inlineStr">
        <is>
          <t>-H/2</t>
        </is>
      </c>
      <c r="M24" s="9" t="inlineStr">
        <is>
          <t>Reacción Fx en el nudo 4 · combinación «C1: 1,0·Hx»</t>
        </is>
      </c>
      <c r="N24" s="9" t="inlineStr"/>
    </row>
    <row r="25" ht="16" customHeight="1">
      <c r="A25" s="17" t="n">
        <v>5</v>
      </c>
      <c r="B25" s="8" t="inlineStr">
        <is>
          <t>Reacción vertical en el apoyo 4 (vuelco)</t>
        </is>
      </c>
      <c r="C25" s="17" t="inlineStr">
        <is>
          <t>kN</t>
        </is>
      </c>
      <c r="D25" s="26">
        <f>$D$8*$D$9/$D$10</f>
        <v/>
      </c>
      <c r="E25" s="25" t="n">
        <v>13.99999999424275</v>
      </c>
      <c r="F25" s="27">
        <f>E25-D25</f>
        <v/>
      </c>
      <c r="G25" s="28">
        <f>IF(ABS(D25)&gt;0.000000000001,F25/D25,"—")</f>
        <v/>
      </c>
      <c r="H25" s="29" t="n">
        <v>0.0001</v>
      </c>
      <c r="I25" s="30" t="n">
        <v>1e-06</v>
      </c>
      <c r="J25" s="31">
        <f>IF(ABS(F25)&lt;=MAX(H25*ABS(D25),I25),"OK","NO")</f>
        <v/>
      </c>
      <c r="K25" s="17" t="inlineStr">
        <is>
          <t>Fórmula</t>
        </is>
      </c>
      <c r="L25" s="9" t="inlineStr">
        <is>
          <t>H*h/L</t>
        </is>
      </c>
      <c r="M25" s="9" t="inlineStr">
        <is>
          <t>Reacción Fz en el nudo 4 · combinación «C1: 1,0·Hx»</t>
        </is>
      </c>
      <c r="N25" s="9" t="inlineStr"/>
    </row>
    <row r="26" ht="16" customHeight="1">
      <c r="A26" s="17" t="n">
        <v>6</v>
      </c>
      <c r="B26" s="8" t="inlineStr">
        <is>
          <t>Reacción vertical en el apoyo 1</t>
        </is>
      </c>
      <c r="C26" s="17" t="inlineStr">
        <is>
          <t>kN</t>
        </is>
      </c>
      <c r="D26" s="26">
        <f>-$D$8*$D$9/$D$10</f>
        <v/>
      </c>
      <c r="E26" s="25" t="n">
        <v>-13.99999999424275</v>
      </c>
      <c r="F26" s="27">
        <f>E26-D26</f>
        <v/>
      </c>
      <c r="G26" s="28">
        <f>IF(ABS(D26)&gt;0.000000000001,F26/D26,"—")</f>
        <v/>
      </c>
      <c r="H26" s="29" t="n">
        <v>0.0001</v>
      </c>
      <c r="I26" s="30" t="n">
        <v>1e-06</v>
      </c>
      <c r="J26" s="31">
        <f>IF(ABS(F26)&lt;=MAX(H26*ABS(D26),I26),"OK","NO")</f>
        <v/>
      </c>
      <c r="K26" s="17" t="inlineStr">
        <is>
          <t>Fórmula</t>
        </is>
      </c>
      <c r="L26" s="9" t="inlineStr">
        <is>
          <t>-H*h/L</t>
        </is>
      </c>
      <c r="M26" s="9" t="inlineStr">
        <is>
          <t>Reacción Fz en el nudo 1 · combinación «C1: 1,0·Hx»</t>
        </is>
      </c>
      <c r="N26" s="9" t="inlineStr"/>
    </row>
    <row r="27" ht="28" customHeight="1">
      <c r="A27" s="17" t="n">
        <v>7</v>
      </c>
      <c r="B27" s="8" t="inlineStr">
        <is>
          <t>Momento en el extremo de la viga (nudo 2)</t>
        </is>
      </c>
      <c r="C27" s="17" t="inlineStr">
        <is>
          <t>kN·m</t>
        </is>
      </c>
      <c r="D27" s="26">
        <f>ABS($D$8*$D$9/2/1000)</f>
        <v/>
      </c>
      <c r="E27" s="25" t="n">
        <v>35.00001474350422</v>
      </c>
      <c r="F27" s="27">
        <f>E27-D27</f>
        <v/>
      </c>
      <c r="G27" s="28">
        <f>IF(ABS(D27)&gt;0.000000000001,F27/D27,"—")</f>
        <v/>
      </c>
      <c r="H27" s="29" t="n">
        <v>0.0001</v>
      </c>
      <c r="I27" s="30" t="n">
        <v>1e-06</v>
      </c>
      <c r="J27" s="31">
        <f>IF(ABS(F27)&lt;=MAX(H27*ABS(D27),I27),"OK","NO")</f>
        <v/>
      </c>
      <c r="K27" s="17" t="inlineStr">
        <is>
          <t>Fórmula</t>
        </is>
      </c>
      <c r="L27" s="9" t="inlineStr">
        <is>
          <t>H*h/2/1000</t>
        </is>
      </c>
      <c r="M27" s="9" t="inlineStr">
        <is>
          <t>Barra 2, en x = 0·L, momento flector Mz (eje fuerte) · combinación «C1: 1,0·Hx»</t>
        </is>
      </c>
      <c r="N27" s="9" t="inlineStr">
        <is>
          <t>Se comparan valores absolutos (la convención de signo es independiente del resultado).</t>
        </is>
      </c>
    </row>
    <row r="29">
      <c r="B29" s="4" t="inlineStr">
        <is>
          <t>Comprobaciones dentro de tolerancia</t>
        </is>
      </c>
      <c r="D29" s="4">
        <f>COUNTIF(J21:J27,"OK")</f>
        <v/>
      </c>
      <c r="E29" s="4">
        <f>ROWS(J21:J27)</f>
        <v/>
      </c>
      <c r="F29" s="4">
        <f>IF(D29=E29,"VERIFICA","DIFIERE")</f>
        <v/>
      </c>
    </row>
    <row r="30">
      <c r="B30" s="2" t="inlineStr">
        <is>
          <t>Azul = dato ingresado o valor que entregó el programa (pegado); negro = fórmula de Excel. El valor «Programa» es el resultado del motor de cálculo de la app para el mismo modelo.</t>
        </is>
      </c>
    </row>
  </sheetData>
  <mergeCells count="1">
    <mergeCell ref="A3:L3"/>
  </mergeCells>
  <conditionalFormatting sqref="J21:J27">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23.xml><?xml version="1.0" encoding="utf-8"?>
<worksheet xmlns="http://schemas.openxmlformats.org/spreadsheetml/2006/main">
  <sheetPr>
    <outlinePr summaryBelow="1" summaryRight="1"/>
    <pageSetUpPr fitToPage="1"/>
  </sheetPr>
  <dimension ref="A1:N32"/>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C11 · Pórtico plano empotrado en la base con carga lateral</t>
        </is>
      </c>
    </row>
    <row r="2">
      <c r="A2" s="2" t="inlineStr">
        <is>
          <t>Solución clásica.  Fuente: Soluciones clásicas de resistencia de materiales y análisis estructural (tablas de vigas, método de pendiente-deflexión, método de los nudos, castigliano)</t>
        </is>
      </c>
    </row>
    <row r="3" ht="40.5" customHeight="1">
      <c r="A3" s="14" t="inlineStr">
        <is>
          <t>Enunciado. Mismo pórtico que C10 pero con empotramientos en la base. Pendiente-deflexión: Δ = H·h²(2Kc+3Kb)/(12·Kc·(Kc+6Kb)), giro θ = 6KcΔ/(h(4Kc+6Kb)), momentos M_sup = 4Kcθ − 6KcΔ/h y M_base = 2Kcθ − 6KcΔ/h. Barras inextensibles como en la solución clásica (área ficticia muy grande); con las áreas reales de los IPE la diferencia llega al 2,3 % en el giro de los nudos.</t>
        </is>
      </c>
    </row>
    <row r="5">
      <c r="A5" s="22" t="inlineStr">
        <is>
          <t>DATOS DEL EJERCICIO</t>
        </is>
      </c>
      <c r="B5" s="22" t="n"/>
      <c r="C5" s="22" t="n"/>
      <c r="D5" s="22" t="n"/>
      <c r="E5" s="22" t="n"/>
      <c r="F5" s="22" t="n"/>
      <c r="G5" s="22" t="n"/>
      <c r="H5" s="22" t="n"/>
      <c r="I5" s="22" t="n"/>
      <c r="J5" s="22" t="n"/>
      <c r="K5" s="22" t="n"/>
      <c r="L5" s="22" t="n"/>
      <c r="M5" s="22" t="n"/>
      <c r="N5" s="22" t="n"/>
    </row>
    <row r="6">
      <c r="A6" s="5" t="inlineStr">
        <is>
          <t>#</t>
        </is>
      </c>
      <c r="B6" s="5" t="inlineStr">
        <is>
          <t>Dato</t>
        </is>
      </c>
      <c r="C6" s="5" t="inlineStr">
        <is>
          <t>Unidad</t>
        </is>
      </c>
      <c r="D6" s="5" t="inlineStr">
        <is>
          <t>Valor</t>
        </is>
      </c>
      <c r="K6" s="5" t="inlineStr">
        <is>
          <t>Símbolo</t>
        </is>
      </c>
      <c r="L6" s="5" t="inlineStr">
        <is>
          <t>Fórmula (texto)</t>
        </is>
      </c>
    </row>
    <row r="7">
      <c r="A7" s="17" t="n">
        <v>1</v>
      </c>
      <c r="B7" s="8" t="inlineStr">
        <is>
          <t>Módulo elástico</t>
        </is>
      </c>
      <c r="C7" s="17" t="inlineStr">
        <is>
          <t>MPa</t>
        </is>
      </c>
      <c r="D7" s="23" t="n">
        <v>200000</v>
      </c>
      <c r="K7" s="17" t="inlineStr">
        <is>
          <t>E</t>
        </is>
      </c>
      <c r="L7" s="24" t="inlineStr">
        <is>
          <t>dato ingresado</t>
        </is>
      </c>
    </row>
    <row r="8">
      <c r="A8" s="17" t="n">
        <v>2</v>
      </c>
      <c r="B8" s="8" t="inlineStr">
        <is>
          <t>Fuerza horizontal en el nudo 2</t>
        </is>
      </c>
      <c r="C8" s="17" t="inlineStr">
        <is>
          <t>kN</t>
        </is>
      </c>
      <c r="D8" s="25" t="n">
        <v>20</v>
      </c>
      <c r="K8" s="17" t="inlineStr">
        <is>
          <t>H</t>
        </is>
      </c>
      <c r="L8" s="24" t="inlineStr">
        <is>
          <t>dato ingresado</t>
        </is>
      </c>
    </row>
    <row r="9">
      <c r="A9" s="17" t="n">
        <v>3</v>
      </c>
      <c r="B9" s="8" t="inlineStr">
        <is>
          <t>Altura de las columnas</t>
        </is>
      </c>
      <c r="C9" s="17" t="inlineStr">
        <is>
          <t>mm</t>
        </is>
      </c>
      <c r="D9" s="23" t="n">
        <v>3500</v>
      </c>
      <c r="K9" s="17" t="inlineStr">
        <is>
          <t>h</t>
        </is>
      </c>
      <c r="L9" s="24" t="inlineStr">
        <is>
          <t>dato ingresado</t>
        </is>
      </c>
    </row>
    <row r="10">
      <c r="A10" s="17" t="n">
        <v>4</v>
      </c>
      <c r="B10" s="8" t="inlineStr">
        <is>
          <t>Luz de la viga</t>
        </is>
      </c>
      <c r="C10" s="17" t="inlineStr">
        <is>
          <t>mm</t>
        </is>
      </c>
      <c r="D10" s="23" t="n">
        <v>5000</v>
      </c>
      <c r="K10" s="17" t="inlineStr">
        <is>
          <t>L</t>
        </is>
      </c>
      <c r="L10" s="24" t="inlineStr">
        <is>
          <t>dato ingresado</t>
        </is>
      </c>
    </row>
    <row r="11">
      <c r="A11" s="17" t="n">
        <v>5</v>
      </c>
      <c r="B11" s="8" t="inlineStr">
        <is>
          <t>Inercia de las columnas (IPE 200: 1943 cm⁴)</t>
        </is>
      </c>
      <c r="C11" s="17" t="inlineStr">
        <is>
          <t>mm⁴</t>
        </is>
      </c>
      <c r="D11" s="35" t="n">
        <v>19430000</v>
      </c>
      <c r="K11" s="17" t="inlineStr">
        <is>
          <t>Ic</t>
        </is>
      </c>
      <c r="L11" s="24" t="inlineStr">
        <is>
          <t>dato ingresado</t>
        </is>
      </c>
    </row>
    <row r="12">
      <c r="A12" s="17" t="n">
        <v>6</v>
      </c>
      <c r="B12" s="8" t="inlineStr">
        <is>
          <t>Inercia de la viga (IPE 300: 8356 cm⁴)</t>
        </is>
      </c>
      <c r="C12" s="17" t="inlineStr">
        <is>
          <t>mm⁴</t>
        </is>
      </c>
      <c r="D12" s="35" t="n">
        <v>83560000</v>
      </c>
      <c r="K12" s="17" t="inlineStr">
        <is>
          <t>Ib</t>
        </is>
      </c>
      <c r="L12" s="24" t="inlineStr">
        <is>
          <t>dato ingresado</t>
        </is>
      </c>
    </row>
    <row r="13">
      <c r="A13" s="17" t="n">
        <v>7</v>
      </c>
      <c r="B13" s="8" t="inlineStr">
        <is>
          <t>Rigidez EI/h de la columna</t>
        </is>
      </c>
      <c r="C13" s="17" t="inlineStr">
        <is>
          <t>N·mm</t>
        </is>
      </c>
      <c r="D13" s="27">
        <f>$D$7*$D$11/$D$9</f>
        <v/>
      </c>
      <c r="K13" s="17" t="inlineStr">
        <is>
          <t>Kc</t>
        </is>
      </c>
      <c r="L13" s="24" t="inlineStr">
        <is>
          <t>valor = E*Ic/h</t>
        </is>
      </c>
    </row>
    <row r="14">
      <c r="A14" s="17" t="n">
        <v>8</v>
      </c>
      <c r="B14" s="8" t="inlineStr">
        <is>
          <t>Rigidez EI/L de la viga</t>
        </is>
      </c>
      <c r="C14" s="17" t="inlineStr">
        <is>
          <t>N·mm</t>
        </is>
      </c>
      <c r="D14" s="27">
        <f>$D$7*$D$12/$D$10</f>
        <v/>
      </c>
      <c r="K14" s="17" t="inlineStr">
        <is>
          <t>Kb</t>
        </is>
      </c>
      <c r="L14" s="24" t="inlineStr">
        <is>
          <t>valor = E*Ib/L</t>
        </is>
      </c>
    </row>
    <row r="15">
      <c r="A15" s="17" t="n">
        <v>9</v>
      </c>
      <c r="B15" s="8" t="inlineStr">
        <is>
          <t>Desplazamiento lateral teórico</t>
        </is>
      </c>
      <c r="C15" s="17" t="inlineStr">
        <is>
          <t>mm</t>
        </is>
      </c>
      <c r="D15" s="26">
        <f>$D$8*1000*$D$9^2*(2*$D$13+3*$D$14)/(12*$D$13*($D$13+6*$D$14))</f>
        <v/>
      </c>
      <c r="K15" s="17" t="inlineStr">
        <is>
          <t>Dsw</t>
        </is>
      </c>
      <c r="L15" s="24" t="inlineStr">
        <is>
          <t>valor = H*1000*h^2*(2*Kc+3*Kb)/(12*Kc*(Kc+6*Kb))</t>
        </is>
      </c>
    </row>
    <row r="16">
      <c r="A16" s="17" t="n">
        <v>10</v>
      </c>
      <c r="B16" s="8" t="inlineStr">
        <is>
          <t>Giro de los nudos superiores</t>
        </is>
      </c>
      <c r="C16" s="17" t="inlineStr">
        <is>
          <t>rad</t>
        </is>
      </c>
      <c r="D16" s="33">
        <f>6*$D$13*$D$15/($D$9*(4*$D$13+6*$D$14))</f>
        <v/>
      </c>
      <c r="K16" s="17" t="inlineStr">
        <is>
          <t>th</t>
        </is>
      </c>
      <c r="L16" s="24" t="inlineStr">
        <is>
          <t>valor = 6*Kc*Dsw/(h*(4*Kc+6*Kb))</t>
        </is>
      </c>
    </row>
    <row r="17">
      <c r="A17" s="17" t="n">
        <v>11</v>
      </c>
      <c r="B17" s="8" t="inlineStr">
        <is>
          <t>Momento en la cabeza de la columna</t>
        </is>
      </c>
      <c r="C17" s="17" t="inlineStr">
        <is>
          <t>N·mm</t>
        </is>
      </c>
      <c r="D17" s="27">
        <f>ABS(4*$D$13*$D$16-6*$D$13*$D$15/$D$9)</f>
        <v/>
      </c>
      <c r="K17" s="17" t="inlineStr">
        <is>
          <t>Mt</t>
        </is>
      </c>
      <c r="L17" s="24" t="inlineStr">
        <is>
          <t>valor = ABS(4*Kc*th-6*Kc*Dsw/h)</t>
        </is>
      </c>
    </row>
    <row r="18">
      <c r="A18" s="17" t="n">
        <v>12</v>
      </c>
      <c r="B18" s="8" t="inlineStr">
        <is>
          <t>Momento en la base</t>
        </is>
      </c>
      <c r="C18" s="17" t="inlineStr">
        <is>
          <t>N·mm</t>
        </is>
      </c>
      <c r="D18" s="27">
        <f>ABS(2*$D$13*$D$16-6*$D$13*$D$15/$D$9)</f>
        <v/>
      </c>
      <c r="K18" s="17" t="inlineStr">
        <is>
          <t>Mb</t>
        </is>
      </c>
      <c r="L18" s="24" t="inlineStr">
        <is>
          <t>valor = ABS(2*Kc*th-6*Kc*Dsw/h)</t>
        </is>
      </c>
    </row>
    <row r="20">
      <c r="A20" s="22" t="inlineStr">
        <is>
          <t>COMPARACIÓN: TEORÍA / DATO PUBLICADO  vs  PROGRAMA (Atlas Estructuras 3D)</t>
        </is>
      </c>
      <c r="B20" s="22" t="n"/>
      <c r="C20" s="22" t="n"/>
      <c r="D20" s="22" t="n"/>
      <c r="E20" s="22" t="n"/>
      <c r="F20" s="22" t="n"/>
      <c r="G20" s="22" t="n"/>
      <c r="H20" s="22" t="n"/>
      <c r="I20" s="22" t="n"/>
      <c r="J20" s="22" t="n"/>
      <c r="K20" s="22" t="n"/>
      <c r="L20" s="22" t="n"/>
      <c r="M20" s="22" t="n"/>
      <c r="N20" s="22" t="n"/>
    </row>
    <row r="21" ht="30" customHeight="1">
      <c r="A21" s="5" t="inlineStr">
        <is>
          <t>#</t>
        </is>
      </c>
      <c r="B21" s="5" t="inlineStr">
        <is>
          <t>Comprobación</t>
        </is>
      </c>
      <c r="C21" s="5" t="inlineStr">
        <is>
          <t>Unidad</t>
        </is>
      </c>
      <c r="D21" s="5" t="inlineStr">
        <is>
          <t>Teoría / publicado</t>
        </is>
      </c>
      <c r="E21" s="5" t="inlineStr">
        <is>
          <t>Programa</t>
        </is>
      </c>
      <c r="F21" s="5" t="inlineStr">
        <is>
          <t>Diferencia (prog. − teoría)</t>
        </is>
      </c>
      <c r="G21" s="5" t="inlineStr">
        <is>
          <t>Error relativo</t>
        </is>
      </c>
      <c r="H21" s="5" t="inlineStr">
        <is>
          <t>Tol. relativa</t>
        </is>
      </c>
      <c r="I21" s="5" t="inlineStr">
        <is>
          <t>Tol. absoluta</t>
        </is>
      </c>
      <c r="J21" s="5" t="inlineStr">
        <is>
          <t>Estado</t>
        </is>
      </c>
      <c r="K21" s="5" t="inlineStr">
        <is>
          <t>Origen</t>
        </is>
      </c>
      <c r="L21" s="5" t="inlineStr">
        <is>
          <t>Expresión de la teoría (texto)</t>
        </is>
      </c>
      <c r="M21" s="5" t="inlineStr">
        <is>
          <t>Dónde se lee en el programa</t>
        </is>
      </c>
      <c r="N21" s="5" t="inlineStr">
        <is>
          <t>Nota</t>
        </is>
      </c>
    </row>
    <row r="22" ht="16" customHeight="1">
      <c r="A22" s="17" t="n">
        <v>1</v>
      </c>
      <c r="B22" s="8" t="inlineStr">
        <is>
          <t>Desplazamiento lateral del nudo 2</t>
        </is>
      </c>
      <c r="C22" s="17" t="inlineStr">
        <is>
          <t>mm</t>
        </is>
      </c>
      <c r="D22" s="26">
        <f>$D$15</f>
        <v/>
      </c>
      <c r="E22" s="25" t="n">
        <v>10.64136217307959</v>
      </c>
      <c r="F22" s="27">
        <f>E22-D22</f>
        <v/>
      </c>
      <c r="G22" s="28">
        <f>IF(ABS(D22)&gt;0.000000000001,F22/D22,"—")</f>
        <v/>
      </c>
      <c r="H22" s="29" t="n">
        <v>0.0001</v>
      </c>
      <c r="I22" s="30" t="n">
        <v>1e-06</v>
      </c>
      <c r="J22" s="31">
        <f>IF(ABS(F22)&lt;=MAX(H22*ABS(D22),I22),"OK","NO")</f>
        <v/>
      </c>
      <c r="K22" s="17" t="inlineStr">
        <is>
          <t>Fórmula</t>
        </is>
      </c>
      <c r="L22" s="9" t="inlineStr">
        <is>
          <t>Dsw</t>
        </is>
      </c>
      <c r="M22" s="9" t="inlineStr">
        <is>
          <t>Desplazamiento Ux del nudo 2 · combinación «C1: 1,0·Hx»</t>
        </is>
      </c>
      <c r="N22" s="9" t="inlineStr"/>
    </row>
    <row r="23" ht="16" customHeight="1">
      <c r="A23" s="17" t="n">
        <v>2</v>
      </c>
      <c r="B23" s="8" t="inlineStr">
        <is>
          <t>Desplazamiento lateral del nudo 3</t>
        </is>
      </c>
      <c r="C23" s="17" t="inlineStr">
        <is>
          <t>mm</t>
        </is>
      </c>
      <c r="D23" s="26">
        <f>$D$15</f>
        <v/>
      </c>
      <c r="E23" s="25" t="n">
        <v>10.64131570476037</v>
      </c>
      <c r="F23" s="27">
        <f>E23-D23</f>
        <v/>
      </c>
      <c r="G23" s="28">
        <f>IF(ABS(D23)&gt;0.000000000001,F23/D23,"—")</f>
        <v/>
      </c>
      <c r="H23" s="29" t="n">
        <v>0.0001</v>
      </c>
      <c r="I23" s="30" t="n">
        <v>1e-06</v>
      </c>
      <c r="J23" s="31">
        <f>IF(ABS(F23)&lt;=MAX(H23*ABS(D23),I23),"OK","NO")</f>
        <v/>
      </c>
      <c r="K23" s="17" t="inlineStr">
        <is>
          <t>Fórmula</t>
        </is>
      </c>
      <c r="L23" s="9" t="inlineStr">
        <is>
          <t>Dsw</t>
        </is>
      </c>
      <c r="M23" s="9" t="inlineStr">
        <is>
          <t>Desplazamiento Ux del nudo 3 · combinación «C1: 1,0·Hx»</t>
        </is>
      </c>
      <c r="N23" s="9" t="inlineStr"/>
    </row>
    <row r="24" ht="16" customHeight="1">
      <c r="A24" s="17" t="n">
        <v>3</v>
      </c>
      <c r="B24" s="8" t="inlineStr">
        <is>
          <t>Giro del nudo 2</t>
        </is>
      </c>
      <c r="C24" s="17" t="inlineStr">
        <is>
          <t>rad</t>
        </is>
      </c>
      <c r="D24" s="33">
        <f>ABS($D$16)</f>
        <v/>
      </c>
      <c r="E24" s="34" t="n">
        <v>0.0008268661834243229</v>
      </c>
      <c r="F24" s="27">
        <f>E24-D24</f>
        <v/>
      </c>
      <c r="G24" s="28">
        <f>IF(ABS(D24)&gt;0.000000000001,F24/D24,"—")</f>
        <v/>
      </c>
      <c r="H24" s="29" t="n">
        <v>0.0001</v>
      </c>
      <c r="I24" s="30" t="n">
        <v>1e-06</v>
      </c>
      <c r="J24" s="31">
        <f>IF(ABS(F24)&lt;=MAX(H24*ABS(D24),I24),"OK","NO")</f>
        <v/>
      </c>
      <c r="K24" s="17" t="inlineStr">
        <is>
          <t>Fórmula</t>
        </is>
      </c>
      <c r="L24" s="9" t="inlineStr">
        <is>
          <t>th</t>
        </is>
      </c>
      <c r="M24" s="9" t="inlineStr">
        <is>
          <t>Desplazamiento Ry del nudo 2 · combinación «C1: 1,0·Hx»</t>
        </is>
      </c>
      <c r="N24" s="9" t="inlineStr">
        <is>
          <t>Se comparan valores absolutos (la convención de signo es independiente del resultado).</t>
        </is>
      </c>
    </row>
    <row r="25" ht="16" customHeight="1">
      <c r="A25" s="17" t="n">
        <v>4</v>
      </c>
      <c r="B25" s="8" t="inlineStr">
        <is>
          <t>Reacción horizontal en el empotramiento 1</t>
        </is>
      </c>
      <c r="C25" s="17" t="inlineStr">
        <is>
          <t>kN</t>
        </is>
      </c>
      <c r="D25" s="26">
        <f>-$D$8/2</f>
        <v/>
      </c>
      <c r="E25" s="25" t="n">
        <v>-10.00001770473521</v>
      </c>
      <c r="F25" s="27">
        <f>E25-D25</f>
        <v/>
      </c>
      <c r="G25" s="28">
        <f>IF(ABS(D25)&gt;0.000000000001,F25/D25,"—")</f>
        <v/>
      </c>
      <c r="H25" s="29" t="n">
        <v>0.0001</v>
      </c>
      <c r="I25" s="30" t="n">
        <v>1e-06</v>
      </c>
      <c r="J25" s="31">
        <f>IF(ABS(F25)&lt;=MAX(H25*ABS(D25),I25),"OK","NO")</f>
        <v/>
      </c>
      <c r="K25" s="17" t="inlineStr">
        <is>
          <t>Fórmula</t>
        </is>
      </c>
      <c r="L25" s="9" t="inlineStr">
        <is>
          <t>-H/2</t>
        </is>
      </c>
      <c r="M25" s="9" t="inlineStr">
        <is>
          <t>Reacción Fx en el nudo 1 · combinación «C1: 1,0·Hx»</t>
        </is>
      </c>
      <c r="N25" s="9" t="inlineStr"/>
    </row>
    <row r="26" ht="16" customHeight="1">
      <c r="A26" s="17" t="n">
        <v>5</v>
      </c>
      <c r="B26" s="8" t="inlineStr">
        <is>
          <t>Momento de empotramiento en la base 1</t>
        </is>
      </c>
      <c r="C26" s="17" t="inlineStr">
        <is>
          <t>kN·m</t>
        </is>
      </c>
      <c r="D26" s="26">
        <f>ABS($D$18/1000000)</f>
        <v/>
      </c>
      <c r="E26" s="25" t="n">
        <v>18.41808869436858</v>
      </c>
      <c r="F26" s="27">
        <f>E26-D26</f>
        <v/>
      </c>
      <c r="G26" s="28">
        <f>IF(ABS(D26)&gt;0.000000000001,F26/D26,"—")</f>
        <v/>
      </c>
      <c r="H26" s="29" t="n">
        <v>0.0001</v>
      </c>
      <c r="I26" s="30" t="n">
        <v>1e-06</v>
      </c>
      <c r="J26" s="31">
        <f>IF(ABS(F26)&lt;=MAX(H26*ABS(D26),I26),"OK","NO")</f>
        <v/>
      </c>
      <c r="K26" s="17" t="inlineStr">
        <is>
          <t>Fórmula</t>
        </is>
      </c>
      <c r="L26" s="9" t="inlineStr">
        <is>
          <t>Mb/1000000</t>
        </is>
      </c>
      <c r="M26" s="9" t="inlineStr">
        <is>
          <t>Reacción My en el nudo 1 · combinación «C1: 1,0·Hx»</t>
        </is>
      </c>
      <c r="N26" s="9" t="inlineStr">
        <is>
          <t>Se comparan valores absolutos (la convención de signo es independiente del resultado).</t>
        </is>
      </c>
    </row>
    <row r="27" ht="28" customHeight="1">
      <c r="A27" s="17" t="n">
        <v>6</v>
      </c>
      <c r="B27" s="8" t="inlineStr">
        <is>
          <t>Momento en la cabeza de la columna 1</t>
        </is>
      </c>
      <c r="C27" s="17" t="inlineStr">
        <is>
          <t>kN·m</t>
        </is>
      </c>
      <c r="D27" s="26">
        <f>ABS($D$17/1000000)</f>
        <v/>
      </c>
      <c r="E27" s="25" t="n">
        <v>16.58197327220464</v>
      </c>
      <c r="F27" s="27">
        <f>E27-D27</f>
        <v/>
      </c>
      <c r="G27" s="28">
        <f>IF(ABS(D27)&gt;0.000000000001,F27/D27,"—")</f>
        <v/>
      </c>
      <c r="H27" s="29" t="n">
        <v>0.0001</v>
      </c>
      <c r="I27" s="30" t="n">
        <v>1e-06</v>
      </c>
      <c r="J27" s="31">
        <f>IF(ABS(F27)&lt;=MAX(H27*ABS(D27),I27),"OK","NO")</f>
        <v/>
      </c>
      <c r="K27" s="17" t="inlineStr">
        <is>
          <t>Fórmula</t>
        </is>
      </c>
      <c r="L27" s="9" t="inlineStr">
        <is>
          <t>Mt/1000000</t>
        </is>
      </c>
      <c r="M27" s="9" t="inlineStr">
        <is>
          <t>Barra 1, en x = 1·L, momento flector Mz (eje fuerte) · combinación «C1: 1,0·Hx»</t>
        </is>
      </c>
      <c r="N27" s="9" t="inlineStr">
        <is>
          <t>Se comparan valores absolutos (la convención de signo es independiente del resultado).</t>
        </is>
      </c>
    </row>
    <row r="28" ht="28" customHeight="1">
      <c r="A28" s="17" t="n">
        <v>7</v>
      </c>
      <c r="B28" s="8" t="inlineStr">
        <is>
          <t>Momento en el extremo de la viga (nudo 2)</t>
        </is>
      </c>
      <c r="C28" s="17" t="inlineStr">
        <is>
          <t>kN·m</t>
        </is>
      </c>
      <c r="D28" s="26">
        <f>ABS($D$17/1000000)</f>
        <v/>
      </c>
      <c r="E28" s="25" t="n">
        <v>16.58197327137776</v>
      </c>
      <c r="F28" s="27">
        <f>E28-D28</f>
        <v/>
      </c>
      <c r="G28" s="28">
        <f>IF(ABS(D28)&gt;0.000000000001,F28/D28,"—")</f>
        <v/>
      </c>
      <c r="H28" s="29" t="n">
        <v>0.0001</v>
      </c>
      <c r="I28" s="30" t="n">
        <v>1e-06</v>
      </c>
      <c r="J28" s="31">
        <f>IF(ABS(F28)&lt;=MAX(H28*ABS(D28),I28),"OK","NO")</f>
        <v/>
      </c>
      <c r="K28" s="17" t="inlineStr">
        <is>
          <t>Fórmula</t>
        </is>
      </c>
      <c r="L28" s="9" t="inlineStr">
        <is>
          <t>Mt/1000000</t>
        </is>
      </c>
      <c r="M28" s="9" t="inlineStr">
        <is>
          <t>Barra 2, en x = 0·L, momento flector Mz (eje fuerte) · combinación «C1: 1,0·Hx»</t>
        </is>
      </c>
      <c r="N28" s="9" t="inlineStr">
        <is>
          <t>Se comparan valores absolutos (la convención de signo es independiente del resultado).</t>
        </is>
      </c>
    </row>
    <row r="29" ht="16" customHeight="1">
      <c r="A29" s="17" t="n">
        <v>8</v>
      </c>
      <c r="B29" s="8" t="inlineStr">
        <is>
          <t>Reacción vertical en el apoyo 4 (par resistente)</t>
        </is>
      </c>
      <c r="C29" s="17" t="inlineStr">
        <is>
          <t>kN</t>
        </is>
      </c>
      <c r="D29" s="26">
        <f>ABS(($D$8*1000*$D$9-2*$D$18)/$D$10/1000)</f>
        <v/>
      </c>
      <c r="E29" s="25" t="n">
        <v>6.632778680429599</v>
      </c>
      <c r="F29" s="27">
        <f>E29-D29</f>
        <v/>
      </c>
      <c r="G29" s="28">
        <f>IF(ABS(D29)&gt;0.000000000001,F29/D29,"—")</f>
        <v/>
      </c>
      <c r="H29" s="29" t="n">
        <v>0.0001</v>
      </c>
      <c r="I29" s="30" t="n">
        <v>1e-06</v>
      </c>
      <c r="J29" s="31">
        <f>IF(ABS(F29)&lt;=MAX(H29*ABS(D29),I29),"OK","NO")</f>
        <v/>
      </c>
      <c r="K29" s="17" t="inlineStr">
        <is>
          <t>Fórmula</t>
        </is>
      </c>
      <c r="L29" s="9" t="inlineStr">
        <is>
          <t>(H*1000*h-2*Mb)/L/1000</t>
        </is>
      </c>
      <c r="M29" s="9" t="inlineStr">
        <is>
          <t>Reacción Fz en el nudo 4 · combinación «C1: 1,0·Hx»</t>
        </is>
      </c>
      <c r="N29" s="9" t="inlineStr">
        <is>
          <t>Se comparan valores absolutos (la convención de signo es independiente del resultado).</t>
        </is>
      </c>
    </row>
    <row r="31">
      <c r="B31" s="4" t="inlineStr">
        <is>
          <t>Comprobaciones dentro de tolerancia</t>
        </is>
      </c>
      <c r="D31" s="4">
        <f>COUNTIF(J22:J29,"OK")</f>
        <v/>
      </c>
      <c r="E31" s="4">
        <f>ROWS(J22:J29)</f>
        <v/>
      </c>
      <c r="F31" s="4">
        <f>IF(D31=E31,"VERIFICA","DIFIERE")</f>
        <v/>
      </c>
    </row>
    <row r="32">
      <c r="B32" s="2" t="inlineStr">
        <is>
          <t>Azul = dato ingresado o valor que entregó el programa (pegado); negro = fórmula de Excel. El valor «Programa» es el resultado del motor de cálculo de la app para el mismo modelo.</t>
        </is>
      </c>
    </row>
  </sheetData>
  <mergeCells count="1">
    <mergeCell ref="A3:L3"/>
  </mergeCells>
  <conditionalFormatting sqref="J22:J29">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24.xml><?xml version="1.0" encoding="utf-8"?>
<worksheet xmlns="http://schemas.openxmlformats.org/spreadsheetml/2006/main">
  <sheetPr>
    <outlinePr summaryBelow="1" summaryRight="1"/>
    <pageSetUpPr fitToPage="1"/>
  </sheetPr>
  <dimension ref="A1:N30"/>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C12 · Pórtico plano empotrado con carga uniforme en el dintel</t>
        </is>
      </c>
    </row>
    <row r="2">
      <c r="A2" s="2" t="inlineStr">
        <is>
          <t>Solución clásica.  Fuente: Soluciones clásicas de resistencia de materiales y análisis estructural (tablas de vigas, método de pendiente-deflexión, método de los nudos, castigliano)</t>
        </is>
      </c>
    </row>
    <row r="3" ht="30" customHeight="1">
      <c r="A3" s="14" t="inlineStr">
        <is>
          <t>Enunciado. Pórtico de C11 con carga permanente de 15 kN/m sobre la viga. Carga simétrica: sin desplazamiento lateral. Pendiente-deflexión: θ = (qL²/12)/(4Kc+2Kb); M_col = 4Kcθ en la cabeza y 2Kcθ en la base; empuje horizontal (M_cab + M_base)/h; momento positivo en el centro de la viga qL²/8 − M_cab.</t>
        </is>
      </c>
    </row>
    <row r="5">
      <c r="A5" s="22" t="inlineStr">
        <is>
          <t>DATOS DEL EJERCICIO</t>
        </is>
      </c>
      <c r="B5" s="22" t="n"/>
      <c r="C5" s="22" t="n"/>
      <c r="D5" s="22" t="n"/>
      <c r="E5" s="22" t="n"/>
      <c r="F5" s="22" t="n"/>
      <c r="G5" s="22" t="n"/>
      <c r="H5" s="22" t="n"/>
      <c r="I5" s="22" t="n"/>
      <c r="J5" s="22" t="n"/>
      <c r="K5" s="22" t="n"/>
      <c r="L5" s="22" t="n"/>
      <c r="M5" s="22" t="n"/>
      <c r="N5" s="22" t="n"/>
    </row>
    <row r="6">
      <c r="A6" s="5" t="inlineStr">
        <is>
          <t>#</t>
        </is>
      </c>
      <c r="B6" s="5" t="inlineStr">
        <is>
          <t>Dato</t>
        </is>
      </c>
      <c r="C6" s="5" t="inlineStr">
        <is>
          <t>Unidad</t>
        </is>
      </c>
      <c r="D6" s="5" t="inlineStr">
        <is>
          <t>Valor</t>
        </is>
      </c>
      <c r="K6" s="5" t="inlineStr">
        <is>
          <t>Símbolo</t>
        </is>
      </c>
      <c r="L6" s="5" t="inlineStr">
        <is>
          <t>Fórmula (texto)</t>
        </is>
      </c>
    </row>
    <row r="7">
      <c r="A7" s="17" t="n">
        <v>1</v>
      </c>
      <c r="B7" s="8" t="inlineStr">
        <is>
          <t>Módulo elástico</t>
        </is>
      </c>
      <c r="C7" s="17" t="inlineStr">
        <is>
          <t>MPa</t>
        </is>
      </c>
      <c r="D7" s="23" t="n">
        <v>200000</v>
      </c>
      <c r="K7" s="17" t="inlineStr">
        <is>
          <t>E</t>
        </is>
      </c>
      <c r="L7" s="24" t="inlineStr">
        <is>
          <t>dato ingresado</t>
        </is>
      </c>
    </row>
    <row r="8">
      <c r="A8" s="17" t="n">
        <v>2</v>
      </c>
      <c r="B8" s="8" t="inlineStr">
        <is>
          <t>Carga uniforme sobre la viga</t>
        </is>
      </c>
      <c r="C8" s="17" t="inlineStr">
        <is>
          <t>kN/m</t>
        </is>
      </c>
      <c r="D8" s="25" t="n">
        <v>15</v>
      </c>
      <c r="K8" s="17" t="inlineStr">
        <is>
          <t>q</t>
        </is>
      </c>
      <c r="L8" s="24" t="inlineStr">
        <is>
          <t>dato ingresado</t>
        </is>
      </c>
    </row>
    <row r="9">
      <c r="A9" s="17" t="n">
        <v>3</v>
      </c>
      <c r="B9" s="8" t="inlineStr">
        <is>
          <t>Altura de las columnas</t>
        </is>
      </c>
      <c r="C9" s="17" t="inlineStr">
        <is>
          <t>mm</t>
        </is>
      </c>
      <c r="D9" s="23" t="n">
        <v>3500</v>
      </c>
      <c r="K9" s="17" t="inlineStr">
        <is>
          <t>h</t>
        </is>
      </c>
      <c r="L9" s="24" t="inlineStr">
        <is>
          <t>dato ingresado</t>
        </is>
      </c>
    </row>
    <row r="10">
      <c r="A10" s="17" t="n">
        <v>4</v>
      </c>
      <c r="B10" s="8" t="inlineStr">
        <is>
          <t>Luz de la viga</t>
        </is>
      </c>
      <c r="C10" s="17" t="inlineStr">
        <is>
          <t>mm</t>
        </is>
      </c>
      <c r="D10" s="23" t="n">
        <v>5000</v>
      </c>
      <c r="K10" s="17" t="inlineStr">
        <is>
          <t>L</t>
        </is>
      </c>
      <c r="L10" s="24" t="inlineStr">
        <is>
          <t>dato ingresado</t>
        </is>
      </c>
    </row>
    <row r="11">
      <c r="A11" s="17" t="n">
        <v>5</v>
      </c>
      <c r="B11" s="8" t="inlineStr">
        <is>
          <t>Inercia de las columnas (IPE 200: 1943 cm⁴)</t>
        </is>
      </c>
      <c r="C11" s="17" t="inlineStr">
        <is>
          <t>mm⁴</t>
        </is>
      </c>
      <c r="D11" s="35" t="n">
        <v>19430000</v>
      </c>
      <c r="K11" s="17" t="inlineStr">
        <is>
          <t>Ic</t>
        </is>
      </c>
      <c r="L11" s="24" t="inlineStr">
        <is>
          <t>dato ingresado</t>
        </is>
      </c>
    </row>
    <row r="12">
      <c r="A12" s="17" t="n">
        <v>6</v>
      </c>
      <c r="B12" s="8" t="inlineStr">
        <is>
          <t>Inercia de la viga (IPE 300: 8356 cm⁴)</t>
        </is>
      </c>
      <c r="C12" s="17" t="inlineStr">
        <is>
          <t>mm⁴</t>
        </is>
      </c>
      <c r="D12" s="35" t="n">
        <v>83560000</v>
      </c>
      <c r="K12" s="17" t="inlineStr">
        <is>
          <t>Ib</t>
        </is>
      </c>
      <c r="L12" s="24" t="inlineStr">
        <is>
          <t>dato ingresado</t>
        </is>
      </c>
    </row>
    <row r="13">
      <c r="A13" s="17" t="n">
        <v>7</v>
      </c>
      <c r="B13" s="8" t="inlineStr">
        <is>
          <t>Rigidez EI/h de la columna</t>
        </is>
      </c>
      <c r="C13" s="17" t="inlineStr">
        <is>
          <t>N·mm</t>
        </is>
      </c>
      <c r="D13" s="27">
        <f>$D$7*$D$11/$D$9</f>
        <v/>
      </c>
      <c r="K13" s="17" t="inlineStr">
        <is>
          <t>Kc</t>
        </is>
      </c>
      <c r="L13" s="24" t="inlineStr">
        <is>
          <t>valor = E*Ic/h</t>
        </is>
      </c>
    </row>
    <row r="14">
      <c r="A14" s="17" t="n">
        <v>8</v>
      </c>
      <c r="B14" s="8" t="inlineStr">
        <is>
          <t>Rigidez EI/L de la viga</t>
        </is>
      </c>
      <c r="C14" s="17" t="inlineStr">
        <is>
          <t>N·mm</t>
        </is>
      </c>
      <c r="D14" s="27">
        <f>$D$7*$D$12/$D$10</f>
        <v/>
      </c>
      <c r="K14" s="17" t="inlineStr">
        <is>
          <t>Kb</t>
        </is>
      </c>
      <c r="L14" s="24" t="inlineStr">
        <is>
          <t>valor = E*Ib/L</t>
        </is>
      </c>
    </row>
    <row r="15">
      <c r="A15" s="17" t="n">
        <v>9</v>
      </c>
      <c r="B15" s="8" t="inlineStr">
        <is>
          <t>Giro de los nudos superiores</t>
        </is>
      </c>
      <c r="C15" s="17" t="inlineStr">
        <is>
          <t>rad</t>
        </is>
      </c>
      <c r="D15" s="33">
        <f>$D$8*$D$10^2/12/(4*$D$13+2*$D$14)</f>
        <v/>
      </c>
      <c r="K15" s="17" t="inlineStr">
        <is>
          <t>th</t>
        </is>
      </c>
      <c r="L15" s="24" t="inlineStr">
        <is>
          <t>valor = q*L^2/12/(4*Kc+2*Kb)</t>
        </is>
      </c>
    </row>
    <row r="16">
      <c r="A16" s="17" t="n">
        <v>10</v>
      </c>
      <c r="B16" s="8" t="inlineStr">
        <is>
          <t>Momento en la cabeza de la columna</t>
        </is>
      </c>
      <c r="C16" s="17" t="inlineStr">
        <is>
          <t>N·mm</t>
        </is>
      </c>
      <c r="D16" s="27">
        <f>4*$D$13*$D$15</f>
        <v/>
      </c>
      <c r="K16" s="17" t="inlineStr">
        <is>
          <t>Mt</t>
        </is>
      </c>
      <c r="L16" s="24" t="inlineStr">
        <is>
          <t>valor = 4*Kc*th</t>
        </is>
      </c>
    </row>
    <row r="17">
      <c r="A17" s="17" t="n">
        <v>11</v>
      </c>
      <c r="B17" s="8" t="inlineStr">
        <is>
          <t>Momento en la base</t>
        </is>
      </c>
      <c r="C17" s="17" t="inlineStr">
        <is>
          <t>N·mm</t>
        </is>
      </c>
      <c r="D17" s="38">
        <f>2*$D$13*$D$15</f>
        <v/>
      </c>
      <c r="K17" s="17" t="inlineStr">
        <is>
          <t>Mb</t>
        </is>
      </c>
      <c r="L17" s="24" t="inlineStr">
        <is>
          <t>valor = 2*Kc*th</t>
        </is>
      </c>
    </row>
    <row r="18">
      <c r="A18" s="17" t="n">
        <v>12</v>
      </c>
      <c r="B18" s="8" t="inlineStr">
        <is>
          <t>Empuje horizontal en cada base</t>
        </is>
      </c>
      <c r="C18" s="17" t="inlineStr">
        <is>
          <t>N</t>
        </is>
      </c>
      <c r="D18" s="38">
        <f>($D$16+$D$17)/$D$9</f>
        <v/>
      </c>
      <c r="K18" s="17" t="inlineStr">
        <is>
          <t>Hth</t>
        </is>
      </c>
      <c r="L18" s="24" t="inlineStr">
        <is>
          <t>valor = (Mt+Mb)/h</t>
        </is>
      </c>
    </row>
    <row r="20">
      <c r="A20" s="22" t="inlineStr">
        <is>
          <t>COMPARACIÓN: TEORÍA / DATO PUBLICADO  vs  PROGRAMA (Atlas Estructuras 3D)</t>
        </is>
      </c>
      <c r="B20" s="22" t="n"/>
      <c r="C20" s="22" t="n"/>
      <c r="D20" s="22" t="n"/>
      <c r="E20" s="22" t="n"/>
      <c r="F20" s="22" t="n"/>
      <c r="G20" s="22" t="n"/>
      <c r="H20" s="22" t="n"/>
      <c r="I20" s="22" t="n"/>
      <c r="J20" s="22" t="n"/>
      <c r="K20" s="22" t="n"/>
      <c r="L20" s="22" t="n"/>
      <c r="M20" s="22" t="n"/>
      <c r="N20" s="22" t="n"/>
    </row>
    <row r="21" ht="30" customHeight="1">
      <c r="A21" s="5" t="inlineStr">
        <is>
          <t>#</t>
        </is>
      </c>
      <c r="B21" s="5" t="inlineStr">
        <is>
          <t>Comprobación</t>
        </is>
      </c>
      <c r="C21" s="5" t="inlineStr">
        <is>
          <t>Unidad</t>
        </is>
      </c>
      <c r="D21" s="5" t="inlineStr">
        <is>
          <t>Teoría / publicado</t>
        </is>
      </c>
      <c r="E21" s="5" t="inlineStr">
        <is>
          <t>Programa</t>
        </is>
      </c>
      <c r="F21" s="5" t="inlineStr">
        <is>
          <t>Diferencia (prog. − teoría)</t>
        </is>
      </c>
      <c r="G21" s="5" t="inlineStr">
        <is>
          <t>Error relativo</t>
        </is>
      </c>
      <c r="H21" s="5" t="inlineStr">
        <is>
          <t>Tol. relativa</t>
        </is>
      </c>
      <c r="I21" s="5" t="inlineStr">
        <is>
          <t>Tol. absoluta</t>
        </is>
      </c>
      <c r="J21" s="5" t="inlineStr">
        <is>
          <t>Estado</t>
        </is>
      </c>
      <c r="K21" s="5" t="inlineStr">
        <is>
          <t>Origen</t>
        </is>
      </c>
      <c r="L21" s="5" t="inlineStr">
        <is>
          <t>Expresión de la teoría (texto)</t>
        </is>
      </c>
      <c r="M21" s="5" t="inlineStr">
        <is>
          <t>Dónde se lee en el programa</t>
        </is>
      </c>
      <c r="N21" s="5" t="inlineStr">
        <is>
          <t>Nota</t>
        </is>
      </c>
    </row>
    <row r="22" ht="16" customHeight="1">
      <c r="A22" s="17" t="n">
        <v>1</v>
      </c>
      <c r="B22" s="8" t="inlineStr">
        <is>
          <t>Reacción vertical en cada base</t>
        </is>
      </c>
      <c r="C22" s="17" t="inlineStr">
        <is>
          <t>kN</t>
        </is>
      </c>
      <c r="D22" s="26">
        <f>$D$8*$D$10/2000</f>
        <v/>
      </c>
      <c r="E22" s="25" t="n">
        <v>37.50000000000001</v>
      </c>
      <c r="F22" s="27">
        <f>E22-D22</f>
        <v/>
      </c>
      <c r="G22" s="28">
        <f>IF(ABS(D22)&gt;0.000000000001,F22/D22,"—")</f>
        <v/>
      </c>
      <c r="H22" s="29" t="n">
        <v>0.0001</v>
      </c>
      <c r="I22" s="30" t="n">
        <v>1e-06</v>
      </c>
      <c r="J22" s="31">
        <f>IF(ABS(F22)&lt;=MAX(H22*ABS(D22),I22),"OK","NO")</f>
        <v/>
      </c>
      <c r="K22" s="17" t="inlineStr">
        <is>
          <t>Fórmula</t>
        </is>
      </c>
      <c r="L22" s="9" t="inlineStr">
        <is>
          <t>q*L/2000</t>
        </is>
      </c>
      <c r="M22" s="9" t="inlineStr">
        <is>
          <t>Reacción Fz en el nudo 1 · combinación «C1: 1,0·D»</t>
        </is>
      </c>
      <c r="N22" s="9" t="inlineStr"/>
    </row>
    <row r="23" ht="16" customHeight="1">
      <c r="A23" s="17" t="n">
        <v>2</v>
      </c>
      <c r="B23" s="8" t="inlineStr">
        <is>
          <t>Empuje horizontal en la base 1</t>
        </is>
      </c>
      <c r="C23" s="17" t="inlineStr">
        <is>
          <t>kN</t>
        </is>
      </c>
      <c r="D23" s="26">
        <f>ABS($D$18/1000)</f>
        <v/>
      </c>
      <c r="E23" s="25" t="n">
        <v>5.346017617355805</v>
      </c>
      <c r="F23" s="27">
        <f>E23-D23</f>
        <v/>
      </c>
      <c r="G23" s="28">
        <f>IF(ABS(D23)&gt;0.000000000001,F23/D23,"—")</f>
        <v/>
      </c>
      <c r="H23" s="29" t="n">
        <v>0.0001</v>
      </c>
      <c r="I23" s="30" t="n">
        <v>1e-06</v>
      </c>
      <c r="J23" s="31">
        <f>IF(ABS(F23)&lt;=MAX(H23*ABS(D23),I23),"OK","NO")</f>
        <v/>
      </c>
      <c r="K23" s="17" t="inlineStr">
        <is>
          <t>Fórmula</t>
        </is>
      </c>
      <c r="L23" s="9" t="inlineStr">
        <is>
          <t>Hth/1000</t>
        </is>
      </c>
      <c r="M23" s="9" t="inlineStr">
        <is>
          <t>Reacción Fx en el nudo 1 · combinación «C1: 1,0·D»</t>
        </is>
      </c>
      <c r="N23" s="9" t="inlineStr">
        <is>
          <t>Se comparan valores absolutos (la convención de signo es independiente del resultado).</t>
        </is>
      </c>
    </row>
    <row r="24" ht="16" customHeight="1">
      <c r="A24" s="17" t="n">
        <v>3</v>
      </c>
      <c r="B24" s="8" t="inlineStr">
        <is>
          <t>Momento de empotramiento en la base 1</t>
        </is>
      </c>
      <c r="C24" s="17" t="inlineStr">
        <is>
          <t>kN·m</t>
        </is>
      </c>
      <c r="D24" s="26">
        <f>ABS($D$17/1000000)</f>
        <v/>
      </c>
      <c r="E24" s="25" t="n">
        <v>6.237012673062667</v>
      </c>
      <c r="F24" s="27">
        <f>E24-D24</f>
        <v/>
      </c>
      <c r="G24" s="28">
        <f>IF(ABS(D24)&gt;0.000000000001,F24/D24,"—")</f>
        <v/>
      </c>
      <c r="H24" s="29" t="n">
        <v>0.0001</v>
      </c>
      <c r="I24" s="30" t="n">
        <v>1e-06</v>
      </c>
      <c r="J24" s="31">
        <f>IF(ABS(F24)&lt;=MAX(H24*ABS(D24),I24),"OK","NO")</f>
        <v/>
      </c>
      <c r="K24" s="17" t="inlineStr">
        <is>
          <t>Fórmula</t>
        </is>
      </c>
      <c r="L24" s="9" t="inlineStr">
        <is>
          <t>Mb/1000000</t>
        </is>
      </c>
      <c r="M24" s="9" t="inlineStr">
        <is>
          <t>Reacción My en el nudo 1 · combinación «C1: 1,0·D»</t>
        </is>
      </c>
      <c r="N24" s="9" t="inlineStr">
        <is>
          <t>Se comparan valores absolutos (la convención de signo es independiente del resultado).</t>
        </is>
      </c>
    </row>
    <row r="25" ht="16" customHeight="1">
      <c r="A25" s="17" t="n">
        <v>4</v>
      </c>
      <c r="B25" s="8" t="inlineStr">
        <is>
          <t>Giro del nudo 2</t>
        </is>
      </c>
      <c r="C25" s="17" t="inlineStr">
        <is>
          <t>rad</t>
        </is>
      </c>
      <c r="D25" s="33">
        <f>ABS($D$15)</f>
        <v/>
      </c>
      <c r="E25" s="34" t="n">
        <v>0.00280875284369145</v>
      </c>
      <c r="F25" s="27">
        <f>E25-D25</f>
        <v/>
      </c>
      <c r="G25" s="28">
        <f>IF(ABS(D25)&gt;0.000000000001,F25/D25,"—")</f>
        <v/>
      </c>
      <c r="H25" s="29" t="n">
        <v>0.0001</v>
      </c>
      <c r="I25" s="30" t="n">
        <v>1e-06</v>
      </c>
      <c r="J25" s="31">
        <f>IF(ABS(F25)&lt;=MAX(H25*ABS(D25),I25),"OK","NO")</f>
        <v/>
      </c>
      <c r="K25" s="17" t="inlineStr">
        <is>
          <t>Fórmula</t>
        </is>
      </c>
      <c r="L25" s="9" t="inlineStr">
        <is>
          <t>th</t>
        </is>
      </c>
      <c r="M25" s="9" t="inlineStr">
        <is>
          <t>Desplazamiento Ry del nudo 2 · combinación «C1: 1,0·D»</t>
        </is>
      </c>
      <c r="N25" s="9" t="inlineStr">
        <is>
          <t>Se comparan valores absolutos (la convención de signo es independiente del resultado).</t>
        </is>
      </c>
    </row>
    <row r="26" ht="28" customHeight="1">
      <c r="A26" s="17" t="n">
        <v>5</v>
      </c>
      <c r="B26" s="8" t="inlineStr">
        <is>
          <t>Momento en el extremo de la viga</t>
        </is>
      </c>
      <c r="C26" s="17" t="inlineStr">
        <is>
          <t>kN·m</t>
        </is>
      </c>
      <c r="D26" s="26">
        <f>ABS($D$16/1000000)</f>
        <v/>
      </c>
      <c r="E26" s="25" t="n">
        <v>12.47404899049142</v>
      </c>
      <c r="F26" s="27">
        <f>E26-D26</f>
        <v/>
      </c>
      <c r="G26" s="28">
        <f>IF(ABS(D26)&gt;0.000000000001,F26/D26,"—")</f>
        <v/>
      </c>
      <c r="H26" s="29" t="n">
        <v>0.0001</v>
      </c>
      <c r="I26" s="30" t="n">
        <v>1e-06</v>
      </c>
      <c r="J26" s="31">
        <f>IF(ABS(F26)&lt;=MAX(H26*ABS(D26),I26),"OK","NO")</f>
        <v/>
      </c>
      <c r="K26" s="17" t="inlineStr">
        <is>
          <t>Fórmula</t>
        </is>
      </c>
      <c r="L26" s="9" t="inlineStr">
        <is>
          <t>Mt/1000000</t>
        </is>
      </c>
      <c r="M26" s="9" t="inlineStr">
        <is>
          <t>Barra 2, en x = 0·L, momento flector Mz (eje fuerte) · combinación «C1: 1,0·D»</t>
        </is>
      </c>
      <c r="N26" s="9" t="inlineStr">
        <is>
          <t>Se comparan valores absolutos (la convención de signo es independiente del resultado).</t>
        </is>
      </c>
    </row>
    <row r="27" ht="28" customHeight="1">
      <c r="A27" s="17" t="n">
        <v>6</v>
      </c>
      <c r="B27" s="8" t="inlineStr">
        <is>
          <t>Momento positivo en el centro de la viga</t>
        </is>
      </c>
      <c r="C27" s="17" t="inlineStr">
        <is>
          <t>kN·m</t>
        </is>
      </c>
      <c r="D27" s="26">
        <f>ABS(($D$8*$D$10^2/8-$D$16)/1000000)</f>
        <v/>
      </c>
      <c r="E27" s="25" t="n">
        <v>34.40095100950861</v>
      </c>
      <c r="F27" s="27">
        <f>E27-D27</f>
        <v/>
      </c>
      <c r="G27" s="28">
        <f>IF(ABS(D27)&gt;0.000000000001,F27/D27,"—")</f>
        <v/>
      </c>
      <c r="H27" s="29" t="n">
        <v>0.0001</v>
      </c>
      <c r="I27" s="30" t="n">
        <v>1e-06</v>
      </c>
      <c r="J27" s="31">
        <f>IF(ABS(F27)&lt;=MAX(H27*ABS(D27),I27),"OK","NO")</f>
        <v/>
      </c>
      <c r="K27" s="17" t="inlineStr">
        <is>
          <t>Fórmula</t>
        </is>
      </c>
      <c r="L27" s="9" t="inlineStr">
        <is>
          <t>(q*L^2/8-Mt)/1000000</t>
        </is>
      </c>
      <c r="M27" s="9" t="inlineStr">
        <is>
          <t>Barra 2, en x = 0.5·L, momento flector Mz (eje fuerte) · combinación «C1: 1,0·D»</t>
        </is>
      </c>
      <c r="N27" s="9" t="inlineStr">
        <is>
          <t>Se comparan valores absolutos (la convención de signo es independiente del resultado).</t>
        </is>
      </c>
    </row>
    <row r="29">
      <c r="B29" s="4" t="inlineStr">
        <is>
          <t>Comprobaciones dentro de tolerancia</t>
        </is>
      </c>
      <c r="D29" s="4">
        <f>COUNTIF(J22:J27,"OK")</f>
        <v/>
      </c>
      <c r="E29" s="4">
        <f>ROWS(J22:J27)</f>
        <v/>
      </c>
      <c r="F29" s="4">
        <f>IF(D29=E29,"VERIFICA","DIFIERE")</f>
        <v/>
      </c>
    </row>
    <row r="30">
      <c r="B30" s="2" t="inlineStr">
        <is>
          <t>Azul = dato ingresado o valor que entregó el programa (pegado); negro = fórmula de Excel. El valor «Programa» es el resultado del motor de cálculo de la app para el mismo modelo.</t>
        </is>
      </c>
    </row>
  </sheetData>
  <mergeCells count="1">
    <mergeCell ref="A3:L3"/>
  </mergeCells>
  <conditionalFormatting sqref="J22:J27">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25.xml><?xml version="1.0" encoding="utf-8"?>
<worksheet xmlns="http://schemas.openxmlformats.org/spreadsheetml/2006/main">
  <sheetPr>
    <outlinePr summaryBelow="1" summaryRight="1"/>
    <pageSetUpPr fitToPage="1"/>
  </sheetPr>
  <dimension ref="A1:N28"/>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C13 · Ménsula en L en el espacio (flexión + torsión)</t>
        </is>
      </c>
    </row>
    <row r="2">
      <c r="A2" s="2" t="inlineStr">
        <is>
          <t>Solución clásica.  Fuente: Soluciones clásicas de resistencia de materiales y análisis estructural (tablas de vigas, método de pendiente-deflexión, método de los nudos, castigliano)</t>
        </is>
      </c>
    </row>
    <row r="3" ht="40.5" customHeight="1">
      <c r="A3" s="14" t="inlineStr">
        <is>
          <t>Enunciado. Dos barras horizontales perpendiculares: la primera de 2,00 m a lo largo de X, empotrada en el origen; la segunda de 1,50 m a lo largo de Y, desde su extremo. Carga vertical de 5 kN hacia abajo en el extremo libre. Perfil genérico I = 1000 cm⁴, J = 600 cm⁴. Por Castigliano: δ = P(a³+b³)/(3EI) + P·a·b²/(GJ); la primera barra trabaja a flexión y torsión (T = P·b).</t>
        </is>
      </c>
    </row>
    <row r="5">
      <c r="A5" s="22" t="inlineStr">
        <is>
          <t>DATOS DEL EJERCICIO</t>
        </is>
      </c>
      <c r="B5" s="22" t="n"/>
      <c r="C5" s="22" t="n"/>
      <c r="D5" s="22" t="n"/>
      <c r="E5" s="22" t="n"/>
      <c r="F5" s="22" t="n"/>
      <c r="G5" s="22" t="n"/>
      <c r="H5" s="22" t="n"/>
      <c r="I5" s="22" t="n"/>
      <c r="J5" s="22" t="n"/>
      <c r="K5" s="22" t="n"/>
      <c r="L5" s="22" t="n"/>
      <c r="M5" s="22" t="n"/>
      <c r="N5" s="22" t="n"/>
    </row>
    <row r="6">
      <c r="A6" s="5" t="inlineStr">
        <is>
          <t>#</t>
        </is>
      </c>
      <c r="B6" s="5" t="inlineStr">
        <is>
          <t>Dato</t>
        </is>
      </c>
      <c r="C6" s="5" t="inlineStr">
        <is>
          <t>Unidad</t>
        </is>
      </c>
      <c r="D6" s="5" t="inlineStr">
        <is>
          <t>Valor</t>
        </is>
      </c>
      <c r="K6" s="5" t="inlineStr">
        <is>
          <t>Símbolo</t>
        </is>
      </c>
      <c r="L6" s="5" t="inlineStr">
        <is>
          <t>Fórmula (texto)</t>
        </is>
      </c>
    </row>
    <row r="7">
      <c r="A7" s="17" t="n">
        <v>1</v>
      </c>
      <c r="B7" s="8" t="inlineStr">
        <is>
          <t>Módulo elástico</t>
        </is>
      </c>
      <c r="C7" s="17" t="inlineStr">
        <is>
          <t>MPa</t>
        </is>
      </c>
      <c r="D7" s="23" t="n">
        <v>200000</v>
      </c>
      <c r="K7" s="17" t="inlineStr">
        <is>
          <t>E</t>
        </is>
      </c>
      <c r="L7" s="24" t="inlineStr">
        <is>
          <t>dato ingresado</t>
        </is>
      </c>
    </row>
    <row r="8">
      <c r="A8" s="17" t="n">
        <v>2</v>
      </c>
      <c r="B8" s="8" t="inlineStr">
        <is>
          <t>Módulo de corte</t>
        </is>
      </c>
      <c r="C8" s="17" t="inlineStr">
        <is>
          <t>MPa</t>
        </is>
      </c>
      <c r="D8" s="23" t="n">
        <v>77200</v>
      </c>
      <c r="K8" s="17" t="inlineStr">
        <is>
          <t>G</t>
        </is>
      </c>
      <c r="L8" s="24" t="inlineStr">
        <is>
          <t>dato ingresado</t>
        </is>
      </c>
    </row>
    <row r="9">
      <c r="A9" s="17" t="n">
        <v>3</v>
      </c>
      <c r="B9" s="8" t="inlineStr">
        <is>
          <t>Inercia (1000 cm⁴)</t>
        </is>
      </c>
      <c r="C9" s="17" t="inlineStr">
        <is>
          <t>mm⁴</t>
        </is>
      </c>
      <c r="D9" s="35" t="n">
        <v>10000000</v>
      </c>
      <c r="K9" s="17" t="inlineStr">
        <is>
          <t>I</t>
        </is>
      </c>
      <c r="L9" s="24" t="inlineStr">
        <is>
          <t>dato ingresado</t>
        </is>
      </c>
    </row>
    <row r="10">
      <c r="A10" s="17" t="n">
        <v>4</v>
      </c>
      <c r="B10" s="8" t="inlineStr">
        <is>
          <t>Constante de torsión (600 cm⁴)</t>
        </is>
      </c>
      <c r="C10" s="17" t="inlineStr">
        <is>
          <t>mm⁴</t>
        </is>
      </c>
      <c r="D10" s="23" t="n">
        <v>6000000</v>
      </c>
      <c r="K10" s="17" t="inlineStr">
        <is>
          <t>J</t>
        </is>
      </c>
      <c r="L10" s="24" t="inlineStr">
        <is>
          <t>dato ingresado</t>
        </is>
      </c>
    </row>
    <row r="11">
      <c r="A11" s="17" t="n">
        <v>5</v>
      </c>
      <c r="B11" s="8" t="inlineStr">
        <is>
          <t>Largo de la barra 1 (eje X)</t>
        </is>
      </c>
      <c r="C11" s="17" t="inlineStr">
        <is>
          <t>mm</t>
        </is>
      </c>
      <c r="D11" s="23" t="n">
        <v>2000</v>
      </c>
      <c r="K11" s="17" t="inlineStr">
        <is>
          <t>a</t>
        </is>
      </c>
      <c r="L11" s="24" t="inlineStr">
        <is>
          <t>dato ingresado</t>
        </is>
      </c>
    </row>
    <row r="12">
      <c r="A12" s="17" t="n">
        <v>6</v>
      </c>
      <c r="B12" s="8" t="inlineStr">
        <is>
          <t>Largo de la barra 2 (eje Y)</t>
        </is>
      </c>
      <c r="C12" s="17" t="inlineStr">
        <is>
          <t>mm</t>
        </is>
      </c>
      <c r="D12" s="23" t="n">
        <v>1500</v>
      </c>
      <c r="K12" s="17" t="inlineStr">
        <is>
          <t>b</t>
        </is>
      </c>
      <c r="L12" s="24" t="inlineStr">
        <is>
          <t>dato ingresado</t>
        </is>
      </c>
    </row>
    <row r="13">
      <c r="A13" s="17" t="n">
        <v>7</v>
      </c>
      <c r="B13" s="8" t="inlineStr">
        <is>
          <t>Carga vertical en el extremo</t>
        </is>
      </c>
      <c r="C13" s="17" t="inlineStr">
        <is>
          <t>kN</t>
        </is>
      </c>
      <c r="D13" s="25" t="n">
        <v>5</v>
      </c>
      <c r="K13" s="17" t="inlineStr">
        <is>
          <t>P</t>
        </is>
      </c>
      <c r="L13" s="24" t="inlineStr">
        <is>
          <t>dato ingresado</t>
        </is>
      </c>
    </row>
    <row r="15">
      <c r="A15" s="22" t="inlineStr">
        <is>
          <t>COMPARACIÓN: TEORÍA / DATO PUBLICADO  vs  PROGRAMA (Atlas Estructuras 3D)</t>
        </is>
      </c>
      <c r="B15" s="22" t="n"/>
      <c r="C15" s="22" t="n"/>
      <c r="D15" s="22" t="n"/>
      <c r="E15" s="22" t="n"/>
      <c r="F15" s="22" t="n"/>
      <c r="G15" s="22" t="n"/>
      <c r="H15" s="22" t="n"/>
      <c r="I15" s="22" t="n"/>
      <c r="J15" s="22" t="n"/>
      <c r="K15" s="22" t="n"/>
      <c r="L15" s="22" t="n"/>
      <c r="M15" s="22" t="n"/>
      <c r="N15" s="22" t="n"/>
    </row>
    <row r="16" ht="30" customHeight="1">
      <c r="A16" s="5" t="inlineStr">
        <is>
          <t>#</t>
        </is>
      </c>
      <c r="B16" s="5" t="inlineStr">
        <is>
          <t>Comprobación</t>
        </is>
      </c>
      <c r="C16" s="5" t="inlineStr">
        <is>
          <t>Unidad</t>
        </is>
      </c>
      <c r="D16" s="5" t="inlineStr">
        <is>
          <t>Teoría / publicado</t>
        </is>
      </c>
      <c r="E16" s="5" t="inlineStr">
        <is>
          <t>Programa</t>
        </is>
      </c>
      <c r="F16" s="5" t="inlineStr">
        <is>
          <t>Diferencia (prog. − teoría)</t>
        </is>
      </c>
      <c r="G16" s="5" t="inlineStr">
        <is>
          <t>Error relativo</t>
        </is>
      </c>
      <c r="H16" s="5" t="inlineStr">
        <is>
          <t>Tol. relativa</t>
        </is>
      </c>
      <c r="I16" s="5" t="inlineStr">
        <is>
          <t>Tol. absoluta</t>
        </is>
      </c>
      <c r="J16" s="5" t="inlineStr">
        <is>
          <t>Estado</t>
        </is>
      </c>
      <c r="K16" s="5" t="inlineStr">
        <is>
          <t>Origen</t>
        </is>
      </c>
      <c r="L16" s="5" t="inlineStr">
        <is>
          <t>Expresión de la teoría (texto)</t>
        </is>
      </c>
      <c r="M16" s="5" t="inlineStr">
        <is>
          <t>Dónde se lee en el programa</t>
        </is>
      </c>
      <c r="N16" s="5" t="inlineStr">
        <is>
          <t>Nota</t>
        </is>
      </c>
    </row>
    <row r="17" ht="16" customHeight="1">
      <c r="A17" s="17" t="n">
        <v>1</v>
      </c>
      <c r="B17" s="8" t="inlineStr">
        <is>
          <t>Descenso del extremo libre</t>
        </is>
      </c>
      <c r="C17" s="17" t="inlineStr">
        <is>
          <t>mm</t>
        </is>
      </c>
      <c r="D17" s="26">
        <f>-($D$13*1000*($D$11^3+$D$12^3)/(3*$D$7*$D$9)+$D$13*1000*$D$11*$D$12^2/($D$8*$D$10))</f>
        <v/>
      </c>
      <c r="E17" s="25" t="n">
        <v>-58.05429573285756</v>
      </c>
      <c r="F17" s="27">
        <f>E17-D17</f>
        <v/>
      </c>
      <c r="G17" s="28">
        <f>IF(ABS(D17)&gt;0.000000000001,F17/D17,"—")</f>
        <v/>
      </c>
      <c r="H17" s="29" t="n">
        <v>0.0001</v>
      </c>
      <c r="I17" s="30" t="n">
        <v>1e-06</v>
      </c>
      <c r="J17" s="31">
        <f>IF(ABS(F17)&lt;=MAX(H17*ABS(D17),I17),"OK","NO")</f>
        <v/>
      </c>
      <c r="K17" s="17" t="inlineStr">
        <is>
          <t>Fórmula</t>
        </is>
      </c>
      <c r="L17" s="9" t="inlineStr">
        <is>
          <t>-(P*1000*(a^3+b^3)/(3*E*I)+P*1000*a*b^2/(G*J))</t>
        </is>
      </c>
      <c r="M17" s="9" t="inlineStr">
        <is>
          <t>Desplazamiento Uz del nudo 3 · combinación «C1: 1,0·D»</t>
        </is>
      </c>
      <c r="N17" s="9" t="inlineStr"/>
    </row>
    <row r="18" ht="16" customHeight="1">
      <c r="A18" s="17" t="n">
        <v>2</v>
      </c>
      <c r="B18" s="8" t="inlineStr">
        <is>
          <t>Giro por torsión del nudo 2 alrededor de X</t>
        </is>
      </c>
      <c r="C18" s="17" t="inlineStr">
        <is>
          <t>rad</t>
        </is>
      </c>
      <c r="D18" s="36">
        <f>ABS($D$13*1000*$D$12*$D$11/($D$8*$D$10))</f>
        <v/>
      </c>
      <c r="E18" s="37" t="n">
        <v>0.0323834193973257</v>
      </c>
      <c r="F18" s="27">
        <f>E18-D18</f>
        <v/>
      </c>
      <c r="G18" s="28">
        <f>IF(ABS(D18)&gt;0.000000000001,F18/D18,"—")</f>
        <v/>
      </c>
      <c r="H18" s="29" t="n">
        <v>0.0001</v>
      </c>
      <c r="I18" s="30" t="n">
        <v>1e-06</v>
      </c>
      <c r="J18" s="31">
        <f>IF(ABS(F18)&lt;=MAX(H18*ABS(D18),I18),"OK","NO")</f>
        <v/>
      </c>
      <c r="K18" s="17" t="inlineStr">
        <is>
          <t>Fórmula</t>
        </is>
      </c>
      <c r="L18" s="9" t="inlineStr">
        <is>
          <t>P*1000*b*a/(G*J)</t>
        </is>
      </c>
      <c r="M18" s="9" t="inlineStr">
        <is>
          <t>Desplazamiento Rx del nudo 2 · combinación «C1: 1,0·D»</t>
        </is>
      </c>
      <c r="N18" s="9" t="inlineStr">
        <is>
          <t>Se comparan valores absolutos (la convención de signo es independiente del resultado).</t>
        </is>
      </c>
    </row>
    <row r="19" ht="16" customHeight="1">
      <c r="A19" s="17" t="n">
        <v>3</v>
      </c>
      <c r="B19" s="8" t="inlineStr">
        <is>
          <t>Giro por flexión del nudo 2 alrededor de Y</t>
        </is>
      </c>
      <c r="C19" s="17" t="inlineStr">
        <is>
          <t>rad</t>
        </is>
      </c>
      <c r="D19" s="33">
        <f>ABS($D$13*1000*$D$11^2/(2*$D$7*$D$9))</f>
        <v/>
      </c>
      <c r="E19" s="34" t="n">
        <v>0.004999999990000053</v>
      </c>
      <c r="F19" s="27">
        <f>E19-D19</f>
        <v/>
      </c>
      <c r="G19" s="28">
        <f>IF(ABS(D19)&gt;0.000000000001,F19/D19,"—")</f>
        <v/>
      </c>
      <c r="H19" s="29" t="n">
        <v>0.0001</v>
      </c>
      <c r="I19" s="30" t="n">
        <v>1e-06</v>
      </c>
      <c r="J19" s="31">
        <f>IF(ABS(F19)&lt;=MAX(H19*ABS(D19),I19),"OK","NO")</f>
        <v/>
      </c>
      <c r="K19" s="17" t="inlineStr">
        <is>
          <t>Fórmula</t>
        </is>
      </c>
      <c r="L19" s="9" t="inlineStr">
        <is>
          <t>P*1000*a^2/(2*E*I)</t>
        </is>
      </c>
      <c r="M19" s="9" t="inlineStr">
        <is>
          <t>Desplazamiento Ry del nudo 2 · combinación «C1: 1,0·D»</t>
        </is>
      </c>
      <c r="N19" s="9" t="inlineStr">
        <is>
          <t>Se comparan valores absolutos (la convención de signo es independiente del resultado).</t>
        </is>
      </c>
    </row>
    <row r="20" ht="16" customHeight="1">
      <c r="A20" s="17" t="n">
        <v>4</v>
      </c>
      <c r="B20" s="8" t="inlineStr">
        <is>
          <t>Reacción vertical</t>
        </is>
      </c>
      <c r="C20" s="17" t="inlineStr">
        <is>
          <t>kN</t>
        </is>
      </c>
      <c r="D20" s="26">
        <f>$D$13</f>
        <v/>
      </c>
      <c r="E20" s="25" t="n">
        <v>5.000000000000022</v>
      </c>
      <c r="F20" s="27">
        <f>E20-D20</f>
        <v/>
      </c>
      <c r="G20" s="28">
        <f>IF(ABS(D20)&gt;0.000000000001,F20/D20,"—")</f>
        <v/>
      </c>
      <c r="H20" s="29" t="n">
        <v>0.0001</v>
      </c>
      <c r="I20" s="30" t="n">
        <v>1e-06</v>
      </c>
      <c r="J20" s="31">
        <f>IF(ABS(F20)&lt;=MAX(H20*ABS(D20),I20),"OK","NO")</f>
        <v/>
      </c>
      <c r="K20" s="17" t="inlineStr">
        <is>
          <t>Fórmula</t>
        </is>
      </c>
      <c r="L20" s="9" t="inlineStr">
        <is>
          <t>P</t>
        </is>
      </c>
      <c r="M20" s="9" t="inlineStr">
        <is>
          <t>Reacción Fz en el nudo 1 · combinación «C1: 1,0·D»</t>
        </is>
      </c>
      <c r="N20" s="9" t="inlineStr"/>
    </row>
    <row r="21" ht="16" customHeight="1">
      <c r="A21" s="17" t="n">
        <v>5</v>
      </c>
      <c r="B21" s="8" t="inlineStr">
        <is>
          <t>Momento de reacción alrededor de X</t>
        </is>
      </c>
      <c r="C21" s="17" t="inlineStr">
        <is>
          <t>kN·m</t>
        </is>
      </c>
      <c r="D21" s="26">
        <f>ABS($D$13*$D$12/1000)</f>
        <v/>
      </c>
      <c r="E21" s="25" t="n">
        <v>7.499999932420633</v>
      </c>
      <c r="F21" s="27">
        <f>E21-D21</f>
        <v/>
      </c>
      <c r="G21" s="28">
        <f>IF(ABS(D21)&gt;0.000000000001,F21/D21,"—")</f>
        <v/>
      </c>
      <c r="H21" s="29" t="n">
        <v>0.0001</v>
      </c>
      <c r="I21" s="30" t="n">
        <v>1e-06</v>
      </c>
      <c r="J21" s="31">
        <f>IF(ABS(F21)&lt;=MAX(H21*ABS(D21),I21),"OK","NO")</f>
        <v/>
      </c>
      <c r="K21" s="17" t="inlineStr">
        <is>
          <t>Fórmula</t>
        </is>
      </c>
      <c r="L21" s="9" t="inlineStr">
        <is>
          <t>P*b/1000</t>
        </is>
      </c>
      <c r="M21" s="9" t="inlineStr">
        <is>
          <t>Reacción Mx en el nudo 1 · combinación «C1: 1,0·D»</t>
        </is>
      </c>
      <c r="N21" s="9" t="inlineStr">
        <is>
          <t>Se comparan valores absolutos (la convención de signo es independiente del resultado).</t>
        </is>
      </c>
    </row>
    <row r="22" ht="16" customHeight="1">
      <c r="A22" s="17" t="n">
        <v>6</v>
      </c>
      <c r="B22" s="8" t="inlineStr">
        <is>
          <t>Momento de reacción alrededor de Y</t>
        </is>
      </c>
      <c r="C22" s="17" t="inlineStr">
        <is>
          <t>kN·m</t>
        </is>
      </c>
      <c r="D22" s="26">
        <f>ABS($D$13*$D$11/1000)</f>
        <v/>
      </c>
      <c r="E22" s="25" t="n">
        <v>9.999999990000076</v>
      </c>
      <c r="F22" s="27">
        <f>E22-D22</f>
        <v/>
      </c>
      <c r="G22" s="28">
        <f>IF(ABS(D22)&gt;0.000000000001,F22/D22,"—")</f>
        <v/>
      </c>
      <c r="H22" s="29" t="n">
        <v>0.0001</v>
      </c>
      <c r="I22" s="30" t="n">
        <v>1e-06</v>
      </c>
      <c r="J22" s="31">
        <f>IF(ABS(F22)&lt;=MAX(H22*ABS(D22),I22),"OK","NO")</f>
        <v/>
      </c>
      <c r="K22" s="17" t="inlineStr">
        <is>
          <t>Fórmula</t>
        </is>
      </c>
      <c r="L22" s="9" t="inlineStr">
        <is>
          <t>P*a/1000</t>
        </is>
      </c>
      <c r="M22" s="9" t="inlineStr">
        <is>
          <t>Reacción My en el nudo 1 · combinación «C1: 1,0·D»</t>
        </is>
      </c>
      <c r="N22" s="9" t="inlineStr">
        <is>
          <t>Se comparan valores absolutos (la convención de signo es independiente del resultado).</t>
        </is>
      </c>
    </row>
    <row r="23" ht="16" customHeight="1">
      <c r="A23" s="17" t="n">
        <v>7</v>
      </c>
      <c r="B23" s="8" t="inlineStr">
        <is>
          <t>Torsor en la barra 1</t>
        </is>
      </c>
      <c r="C23" s="17" t="inlineStr">
        <is>
          <t>kN·m</t>
        </is>
      </c>
      <c r="D23" s="26">
        <f>ABS($D$13*$D$12/1000)</f>
        <v/>
      </c>
      <c r="E23" s="25" t="n">
        <v>7.499999932420633</v>
      </c>
      <c r="F23" s="27">
        <f>E23-D23</f>
        <v/>
      </c>
      <c r="G23" s="28">
        <f>IF(ABS(D23)&gt;0.000000000001,F23/D23,"—")</f>
        <v/>
      </c>
      <c r="H23" s="29" t="n">
        <v>0.0001</v>
      </c>
      <c r="I23" s="30" t="n">
        <v>1e-06</v>
      </c>
      <c r="J23" s="31">
        <f>IF(ABS(F23)&lt;=MAX(H23*ABS(D23),I23),"OK","NO")</f>
        <v/>
      </c>
      <c r="K23" s="17" t="inlineStr">
        <is>
          <t>Fórmula</t>
        </is>
      </c>
      <c r="L23" s="9" t="inlineStr">
        <is>
          <t>P*b/1000</t>
        </is>
      </c>
      <c r="M23" s="9" t="inlineStr">
        <is>
          <t>Barra 1, en x = 0.5·L, torsor T · combinación «C1: 1,0·D»</t>
        </is>
      </c>
      <c r="N23" s="9" t="inlineStr">
        <is>
          <t>Se comparan valores absolutos (la convención de signo es independiente del resultado).</t>
        </is>
      </c>
    </row>
    <row r="24" ht="28" customHeight="1">
      <c r="A24" s="17" t="n">
        <v>8</v>
      </c>
      <c r="B24" s="8" t="inlineStr">
        <is>
          <t>Momento flector en el empotramiento (barra 1)</t>
        </is>
      </c>
      <c r="C24" s="17" t="inlineStr">
        <is>
          <t>kN·m</t>
        </is>
      </c>
      <c r="D24" s="26">
        <f>ABS($D$13*$D$11/1000)</f>
        <v/>
      </c>
      <c r="E24" s="25" t="n">
        <v>9.999999990000072</v>
      </c>
      <c r="F24" s="27">
        <f>E24-D24</f>
        <v/>
      </c>
      <c r="G24" s="28">
        <f>IF(ABS(D24)&gt;0.000000000001,F24/D24,"—")</f>
        <v/>
      </c>
      <c r="H24" s="29" t="n">
        <v>0.0001</v>
      </c>
      <c r="I24" s="30" t="n">
        <v>1e-06</v>
      </c>
      <c r="J24" s="31">
        <f>IF(ABS(F24)&lt;=MAX(H24*ABS(D24),I24),"OK","NO")</f>
        <v/>
      </c>
      <c r="K24" s="17" t="inlineStr">
        <is>
          <t>Fórmula</t>
        </is>
      </c>
      <c r="L24" s="9" t="inlineStr">
        <is>
          <t>P*a/1000</t>
        </is>
      </c>
      <c r="M24" s="9" t="inlineStr">
        <is>
          <t>Barra 1, en x = 0·L, momento flector Mz (eje fuerte) · combinación «C1: 1,0·D»</t>
        </is>
      </c>
      <c r="N24" s="9" t="inlineStr">
        <is>
          <t>Se comparan valores absolutos (la convención de signo es independiente del resultado).</t>
        </is>
      </c>
    </row>
    <row r="25" ht="28" customHeight="1">
      <c r="A25" s="17" t="n">
        <v>9</v>
      </c>
      <c r="B25" s="8" t="inlineStr">
        <is>
          <t>Momento flector al inicio de la barra 2</t>
        </is>
      </c>
      <c r="C25" s="17" t="inlineStr">
        <is>
          <t>kN·m</t>
        </is>
      </c>
      <c r="D25" s="26">
        <f>ABS($D$13*$D$12/1000)</f>
        <v/>
      </c>
      <c r="E25" s="25" t="n">
        <v>7.499999964804044</v>
      </c>
      <c r="F25" s="27">
        <f>E25-D25</f>
        <v/>
      </c>
      <c r="G25" s="28">
        <f>IF(ABS(D25)&gt;0.000000000001,F25/D25,"—")</f>
        <v/>
      </c>
      <c r="H25" s="29" t="n">
        <v>0.0001</v>
      </c>
      <c r="I25" s="30" t="n">
        <v>1e-06</v>
      </c>
      <c r="J25" s="31">
        <f>IF(ABS(F25)&lt;=MAX(H25*ABS(D25),I25),"OK","NO")</f>
        <v/>
      </c>
      <c r="K25" s="17" t="inlineStr">
        <is>
          <t>Fórmula</t>
        </is>
      </c>
      <c r="L25" s="9" t="inlineStr">
        <is>
          <t>P*b/1000</t>
        </is>
      </c>
      <c r="M25" s="9" t="inlineStr">
        <is>
          <t>Barra 2, en x = 0·L, momento flector Mz (eje fuerte) · combinación «C1: 1,0·D»</t>
        </is>
      </c>
      <c r="N25" s="9" t="inlineStr">
        <is>
          <t>Se comparan valores absolutos (la convención de signo es independiente del resultado).</t>
        </is>
      </c>
    </row>
    <row r="27">
      <c r="B27" s="4" t="inlineStr">
        <is>
          <t>Comprobaciones dentro de tolerancia</t>
        </is>
      </c>
      <c r="D27" s="4">
        <f>COUNTIF(J17:J25,"OK")</f>
        <v/>
      </c>
      <c r="E27" s="4">
        <f>ROWS(J17:J25)</f>
        <v/>
      </c>
      <c r="F27" s="4">
        <f>IF(D27=E27,"VERIFICA","DIFIERE")</f>
        <v/>
      </c>
    </row>
    <row r="28">
      <c r="B28" s="2" t="inlineStr">
        <is>
          <t>Azul = dato ingresado o valor que entregó el programa (pegado); negro = fórmula de Excel. El valor «Programa» es el resultado del motor de cálculo de la app para el mismo modelo.</t>
        </is>
      </c>
    </row>
  </sheetData>
  <mergeCells count="1">
    <mergeCell ref="A3:L3"/>
  </mergeCells>
  <conditionalFormatting sqref="J17:J25">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26.xml><?xml version="1.0" encoding="utf-8"?>
<worksheet xmlns="http://schemas.openxmlformats.org/spreadsheetml/2006/main">
  <sheetPr>
    <outlinePr summaryBelow="1" summaryRight="1"/>
    <pageSetUpPr fitToPage="1"/>
  </sheetPr>
  <dimension ref="A1:N26"/>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C14 · Columna en voladizo con cargas horizontales en los dos ejes</t>
        </is>
      </c>
    </row>
    <row r="2">
      <c r="A2" s="2" t="inlineStr">
        <is>
          <t>Solución clásica.  Fuente: Soluciones clásicas de resistencia de materiales y análisis estructural (tablas de vigas, método de pendiente-deflexión, método de los nudos, castigliano)</t>
        </is>
      </c>
    </row>
    <row r="3" ht="30" customHeight="1">
      <c r="A3" s="14" t="inlineStr">
        <is>
          <t>Enunciado. Columna UPN 200 vertical de 3,00 m empotrada en la base. En la cabeza actúan 4 kN en X y 3 kN en Y; además una carga distribuida de 1,5 kN/m en X y 1,0 kN/m en Y. En X flexiona alrededor del eje fuerte (I = 1910 cm⁴) y en Y alrededor del débil (I = 148 cm⁴). Superposición de δ = FL³/(3EI) + wL⁴/(8EI).</t>
        </is>
      </c>
    </row>
    <row r="5">
      <c r="A5" s="22" t="inlineStr">
        <is>
          <t>DATOS DEL EJERCICIO</t>
        </is>
      </c>
      <c r="B5" s="22" t="n"/>
      <c r="C5" s="22" t="n"/>
      <c r="D5" s="22" t="n"/>
      <c r="E5" s="22" t="n"/>
      <c r="F5" s="22" t="n"/>
      <c r="G5" s="22" t="n"/>
      <c r="H5" s="22" t="n"/>
      <c r="I5" s="22" t="n"/>
      <c r="J5" s="22" t="n"/>
      <c r="K5" s="22" t="n"/>
      <c r="L5" s="22" t="n"/>
      <c r="M5" s="22" t="n"/>
      <c r="N5" s="22" t="n"/>
    </row>
    <row r="6">
      <c r="A6" s="5" t="inlineStr">
        <is>
          <t>#</t>
        </is>
      </c>
      <c r="B6" s="5" t="inlineStr">
        <is>
          <t>Dato</t>
        </is>
      </c>
      <c r="C6" s="5" t="inlineStr">
        <is>
          <t>Unidad</t>
        </is>
      </c>
      <c r="D6" s="5" t="inlineStr">
        <is>
          <t>Valor</t>
        </is>
      </c>
      <c r="K6" s="5" t="inlineStr">
        <is>
          <t>Símbolo</t>
        </is>
      </c>
      <c r="L6" s="5" t="inlineStr">
        <is>
          <t>Fórmula (texto)</t>
        </is>
      </c>
    </row>
    <row r="7">
      <c r="A7" s="17" t="n">
        <v>1</v>
      </c>
      <c r="B7" s="8" t="inlineStr">
        <is>
          <t>Módulo elástico</t>
        </is>
      </c>
      <c r="C7" s="17" t="inlineStr">
        <is>
          <t>MPa</t>
        </is>
      </c>
      <c r="D7" s="23" t="n">
        <v>200000</v>
      </c>
      <c r="K7" s="17" t="inlineStr">
        <is>
          <t>E</t>
        </is>
      </c>
      <c r="L7" s="24" t="inlineStr">
        <is>
          <t>dato ingresado</t>
        </is>
      </c>
    </row>
    <row r="8">
      <c r="A8" s="17" t="n">
        <v>2</v>
      </c>
      <c r="B8" s="8" t="inlineStr">
        <is>
          <t>Altura</t>
        </is>
      </c>
      <c r="C8" s="17" t="inlineStr">
        <is>
          <t>mm</t>
        </is>
      </c>
      <c r="D8" s="23" t="n">
        <v>3000</v>
      </c>
      <c r="K8" s="17" t="inlineStr">
        <is>
          <t>L</t>
        </is>
      </c>
      <c r="L8" s="24" t="inlineStr">
        <is>
          <t>dato ingresado</t>
        </is>
      </c>
    </row>
    <row r="9">
      <c r="A9" s="17" t="n">
        <v>3</v>
      </c>
      <c r="B9" s="8" t="inlineStr">
        <is>
          <t>Fuerza en la cabeza, eje X</t>
        </is>
      </c>
      <c r="C9" s="17" t="inlineStr">
        <is>
          <t>kN</t>
        </is>
      </c>
      <c r="D9" s="25" t="n">
        <v>4</v>
      </c>
      <c r="K9" s="17" t="inlineStr">
        <is>
          <t>Fx</t>
        </is>
      </c>
      <c r="L9" s="24" t="inlineStr">
        <is>
          <t>dato ingresado</t>
        </is>
      </c>
    </row>
    <row r="10">
      <c r="A10" s="17" t="n">
        <v>4</v>
      </c>
      <c r="B10" s="8" t="inlineStr">
        <is>
          <t>Fuerza en la cabeza, eje Y</t>
        </is>
      </c>
      <c r="C10" s="17" t="inlineStr">
        <is>
          <t>kN</t>
        </is>
      </c>
      <c r="D10" s="25" t="n">
        <v>3</v>
      </c>
      <c r="K10" s="17" t="inlineStr">
        <is>
          <t>Fy</t>
        </is>
      </c>
      <c r="L10" s="24" t="inlineStr">
        <is>
          <t>dato ingresado</t>
        </is>
      </c>
    </row>
    <row r="11">
      <c r="A11" s="17" t="n">
        <v>5</v>
      </c>
      <c r="B11" s="8" t="inlineStr">
        <is>
          <t>Carga distribuida Hx</t>
        </is>
      </c>
      <c r="C11" s="17" t="inlineStr">
        <is>
          <t>kN/m</t>
        </is>
      </c>
      <c r="D11" s="25" t="n">
        <v>1.5</v>
      </c>
      <c r="K11" s="17" t="inlineStr">
        <is>
          <t>wx</t>
        </is>
      </c>
      <c r="L11" s="24" t="inlineStr">
        <is>
          <t>dato ingresado</t>
        </is>
      </c>
    </row>
    <row r="12">
      <c r="A12" s="17" t="n">
        <v>6</v>
      </c>
      <c r="B12" s="8" t="inlineStr">
        <is>
          <t>Carga distribuida Hy</t>
        </is>
      </c>
      <c r="C12" s="17" t="inlineStr">
        <is>
          <t>kN/m</t>
        </is>
      </c>
      <c r="D12" s="25" t="n">
        <v>1</v>
      </c>
      <c r="K12" s="17" t="inlineStr">
        <is>
          <t>wy</t>
        </is>
      </c>
      <c r="L12" s="24" t="inlineStr">
        <is>
          <t>dato ingresado</t>
        </is>
      </c>
    </row>
    <row r="13">
      <c r="A13" s="17" t="n">
        <v>7</v>
      </c>
      <c r="B13" s="8" t="inlineStr">
        <is>
          <t>Ix UPN 200</t>
        </is>
      </c>
      <c r="C13" s="17" t="inlineStr">
        <is>
          <t>mm⁴</t>
        </is>
      </c>
      <c r="D13" s="35" t="n">
        <v>19100000</v>
      </c>
      <c r="K13" s="17" t="inlineStr">
        <is>
          <t>Is</t>
        </is>
      </c>
      <c r="L13" s="24" t="inlineStr">
        <is>
          <t>dato ingresado</t>
        </is>
      </c>
    </row>
    <row r="14">
      <c r="A14" s="17" t="n">
        <v>8</v>
      </c>
      <c r="B14" s="8" t="inlineStr">
        <is>
          <t>Iy UPN 200 (tabla: 148 cm⁴)</t>
        </is>
      </c>
      <c r="C14" s="17" t="inlineStr">
        <is>
          <t>mm⁴</t>
        </is>
      </c>
      <c r="D14" s="23" t="n">
        <v>1480000</v>
      </c>
      <c r="K14" s="17" t="inlineStr">
        <is>
          <t>Iw</t>
        </is>
      </c>
      <c r="L14" s="24" t="inlineStr">
        <is>
          <t>dato ingresado</t>
        </is>
      </c>
    </row>
    <row r="16">
      <c r="A16" s="22" t="inlineStr">
        <is>
          <t>COMPARACIÓN: TEORÍA / DATO PUBLICADO  vs  PROGRAMA (Atlas Estructuras 3D)</t>
        </is>
      </c>
      <c r="B16" s="22" t="n"/>
      <c r="C16" s="22" t="n"/>
      <c r="D16" s="22" t="n"/>
      <c r="E16" s="22" t="n"/>
      <c r="F16" s="22" t="n"/>
      <c r="G16" s="22" t="n"/>
      <c r="H16" s="22" t="n"/>
      <c r="I16" s="22" t="n"/>
      <c r="J16" s="22" t="n"/>
      <c r="K16" s="22" t="n"/>
      <c r="L16" s="22" t="n"/>
      <c r="M16" s="22" t="n"/>
      <c r="N16" s="22" t="n"/>
    </row>
    <row r="17" ht="30" customHeight="1">
      <c r="A17" s="5" t="inlineStr">
        <is>
          <t>#</t>
        </is>
      </c>
      <c r="B17" s="5" t="inlineStr">
        <is>
          <t>Comprobación</t>
        </is>
      </c>
      <c r="C17" s="5" t="inlineStr">
        <is>
          <t>Unidad</t>
        </is>
      </c>
      <c r="D17" s="5" t="inlineStr">
        <is>
          <t>Teoría / publicado</t>
        </is>
      </c>
      <c r="E17" s="5" t="inlineStr">
        <is>
          <t>Programa</t>
        </is>
      </c>
      <c r="F17" s="5" t="inlineStr">
        <is>
          <t>Diferencia (prog. − teoría)</t>
        </is>
      </c>
      <c r="G17" s="5" t="inlineStr">
        <is>
          <t>Error relativo</t>
        </is>
      </c>
      <c r="H17" s="5" t="inlineStr">
        <is>
          <t>Tol. relativa</t>
        </is>
      </c>
      <c r="I17" s="5" t="inlineStr">
        <is>
          <t>Tol. absoluta</t>
        </is>
      </c>
      <c r="J17" s="5" t="inlineStr">
        <is>
          <t>Estado</t>
        </is>
      </c>
      <c r="K17" s="5" t="inlineStr">
        <is>
          <t>Origen</t>
        </is>
      </c>
      <c r="L17" s="5" t="inlineStr">
        <is>
          <t>Expresión de la teoría (texto)</t>
        </is>
      </c>
      <c r="M17" s="5" t="inlineStr">
        <is>
          <t>Dónde se lee en el programa</t>
        </is>
      </c>
      <c r="N17" s="5" t="inlineStr">
        <is>
          <t>Nota</t>
        </is>
      </c>
    </row>
    <row r="18" ht="16" customHeight="1">
      <c r="A18" s="17" t="n">
        <v>1</v>
      </c>
      <c r="B18" s="8" t="inlineStr">
        <is>
          <t>Desplazamiento de la cabeza en X (eje fuerte)</t>
        </is>
      </c>
      <c r="C18" s="17" t="inlineStr">
        <is>
          <t>mm</t>
        </is>
      </c>
      <c r="D18" s="26">
        <f>($D$9*1000*$D$8^3/3+$D$11*$D$8^4/8)/($D$7*$D$13)</f>
        <v/>
      </c>
      <c r="E18" s="25" t="n">
        <v>13.39986910231525</v>
      </c>
      <c r="F18" s="27">
        <f>E18-D18</f>
        <v/>
      </c>
      <c r="G18" s="28">
        <f>IF(ABS(D18)&gt;0.000000000001,F18/D18,"—")</f>
        <v/>
      </c>
      <c r="H18" s="29" t="n">
        <v>0.0001</v>
      </c>
      <c r="I18" s="30" t="n">
        <v>1e-06</v>
      </c>
      <c r="J18" s="31">
        <f>IF(ABS(F18)&lt;=MAX(H18*ABS(D18),I18),"OK","NO")</f>
        <v/>
      </c>
      <c r="K18" s="17" t="inlineStr">
        <is>
          <t>Fórmula</t>
        </is>
      </c>
      <c r="L18" s="9" t="inlineStr">
        <is>
          <t>(Fx*1000*L^3/3+wx*L^4/8)/(E*Is)</t>
        </is>
      </c>
      <c r="M18" s="9" t="inlineStr">
        <is>
          <t>Desplazamiento Ux del nudo 2 · combinación «C1: Hx + Hy»</t>
        </is>
      </c>
      <c r="N18" s="9" t="inlineStr"/>
    </row>
    <row r="19" ht="16" customHeight="1">
      <c r="A19" s="17" t="n">
        <v>2</v>
      </c>
      <c r="B19" s="8" t="inlineStr">
        <is>
          <t>Desplazamiento de la cabeza en Y (eje débil)</t>
        </is>
      </c>
      <c r="C19" s="17" t="inlineStr">
        <is>
          <t>mm</t>
        </is>
      </c>
      <c r="D19" s="26">
        <f>($D$10*1000*$D$8^3/3+$D$12*$D$8^4/8)/($D$7*$D$14)</f>
        <v/>
      </c>
      <c r="E19" s="25" t="n">
        <v>125.4222963728087</v>
      </c>
      <c r="F19" s="27">
        <f>E19-D19</f>
        <v/>
      </c>
      <c r="G19" s="28">
        <f>IF(ABS(D19)&gt;0.000000000001,F19/D19,"—")</f>
        <v/>
      </c>
      <c r="H19" s="29" t="n">
        <v>0.0001</v>
      </c>
      <c r="I19" s="30" t="n">
        <v>1e-06</v>
      </c>
      <c r="J19" s="31">
        <f>IF(ABS(F19)&lt;=MAX(H19*ABS(D19),I19),"OK","NO")</f>
        <v/>
      </c>
      <c r="K19" s="17" t="inlineStr">
        <is>
          <t>Fórmula</t>
        </is>
      </c>
      <c r="L19" s="9" t="inlineStr">
        <is>
          <t>(Fy*1000*L^3/3+wy*L^4/8)/(E*Iw)</t>
        </is>
      </c>
      <c r="M19" s="9" t="inlineStr">
        <is>
          <t>Desplazamiento Uy del nudo 2 · combinación «C1: Hx + Hy»</t>
        </is>
      </c>
      <c r="N19" s="9" t="inlineStr"/>
    </row>
    <row r="20" ht="16" customHeight="1">
      <c r="A20" s="17" t="n">
        <v>3</v>
      </c>
      <c r="B20" s="8" t="inlineStr">
        <is>
          <t>Reacción horizontal en X</t>
        </is>
      </c>
      <c r="C20" s="17" t="inlineStr">
        <is>
          <t>kN</t>
        </is>
      </c>
      <c r="D20" s="26">
        <f>-($D$9+$D$11*$D$8/1000)</f>
        <v/>
      </c>
      <c r="E20" s="25" t="n">
        <v>-8.500000000000004</v>
      </c>
      <c r="F20" s="27">
        <f>E20-D20</f>
        <v/>
      </c>
      <c r="G20" s="28">
        <f>IF(ABS(D20)&gt;0.000000000001,F20/D20,"—")</f>
        <v/>
      </c>
      <c r="H20" s="29" t="n">
        <v>0.0001</v>
      </c>
      <c r="I20" s="30" t="n">
        <v>1e-06</v>
      </c>
      <c r="J20" s="31">
        <f>IF(ABS(F20)&lt;=MAX(H20*ABS(D20),I20),"OK","NO")</f>
        <v/>
      </c>
      <c r="K20" s="17" t="inlineStr">
        <is>
          <t>Fórmula</t>
        </is>
      </c>
      <c r="L20" s="9" t="inlineStr">
        <is>
          <t>-(Fx+wx*L/1000)</t>
        </is>
      </c>
      <c r="M20" s="9" t="inlineStr">
        <is>
          <t>Reacción Fx en el nudo 1 · combinación «C1: Hx + Hy»</t>
        </is>
      </c>
      <c r="N20" s="9" t="inlineStr"/>
    </row>
    <row r="21" ht="16" customHeight="1">
      <c r="A21" s="17" t="n">
        <v>4</v>
      </c>
      <c r="B21" s="8" t="inlineStr">
        <is>
          <t>Reacción horizontal en Y</t>
        </is>
      </c>
      <c r="C21" s="17" t="inlineStr">
        <is>
          <t>kN</t>
        </is>
      </c>
      <c r="D21" s="26">
        <f>-($D$10+$D$12*$D$8/1000)</f>
        <v/>
      </c>
      <c r="E21" s="25" t="n">
        <v>-6.000000000000005</v>
      </c>
      <c r="F21" s="27">
        <f>E21-D21</f>
        <v/>
      </c>
      <c r="G21" s="28">
        <f>IF(ABS(D21)&gt;0.000000000001,F21/D21,"—")</f>
        <v/>
      </c>
      <c r="H21" s="29" t="n">
        <v>0.0001</v>
      </c>
      <c r="I21" s="30" t="n">
        <v>1e-06</v>
      </c>
      <c r="J21" s="31">
        <f>IF(ABS(F21)&lt;=MAX(H21*ABS(D21),I21),"OK","NO")</f>
        <v/>
      </c>
      <c r="K21" s="17" t="inlineStr">
        <is>
          <t>Fórmula</t>
        </is>
      </c>
      <c r="L21" s="9" t="inlineStr">
        <is>
          <t>-(Fy+wy*L/1000)</t>
        </is>
      </c>
      <c r="M21" s="9" t="inlineStr">
        <is>
          <t>Reacción Fy en el nudo 1 · combinación «C1: Hx + Hy»</t>
        </is>
      </c>
      <c r="N21" s="9" t="inlineStr"/>
    </row>
    <row r="22" ht="16" customHeight="1">
      <c r="A22" s="17" t="n">
        <v>5</v>
      </c>
      <c r="B22" s="8" t="inlineStr">
        <is>
          <t>Momento de empotramiento alrededor de Y</t>
        </is>
      </c>
      <c r="C22" s="17" t="inlineStr">
        <is>
          <t>kN·m</t>
        </is>
      </c>
      <c r="D22" s="26">
        <f>ABS(($D$9*$D$8/1000+$D$11*$D$8^2/2/1000000))</f>
        <v/>
      </c>
      <c r="E22" s="25" t="n">
        <v>18.74999999352094</v>
      </c>
      <c r="F22" s="27">
        <f>E22-D22</f>
        <v/>
      </c>
      <c r="G22" s="28">
        <f>IF(ABS(D22)&gt;0.000000000001,F22/D22,"—")</f>
        <v/>
      </c>
      <c r="H22" s="29" t="n">
        <v>0.0001</v>
      </c>
      <c r="I22" s="30" t="n">
        <v>1e-06</v>
      </c>
      <c r="J22" s="31">
        <f>IF(ABS(F22)&lt;=MAX(H22*ABS(D22),I22),"OK","NO")</f>
        <v/>
      </c>
      <c r="K22" s="17" t="inlineStr">
        <is>
          <t>Fórmula</t>
        </is>
      </c>
      <c r="L22" s="9" t="inlineStr">
        <is>
          <t>(Fx*L/1000+wx*L^2/2/1000000)</t>
        </is>
      </c>
      <c r="M22" s="9" t="inlineStr">
        <is>
          <t>Reacción My en el nudo 1 · combinación «C1: Hx + Hy»</t>
        </is>
      </c>
      <c r="N22" s="9" t="inlineStr">
        <is>
          <t>Se comparan valores absolutos (la convención de signo es independiente del resultado).</t>
        </is>
      </c>
    </row>
    <row r="23" ht="16" customHeight="1">
      <c r="A23" s="17" t="n">
        <v>6</v>
      </c>
      <c r="B23" s="8" t="inlineStr">
        <is>
          <t>Momento de empotramiento alrededor de X</t>
        </is>
      </c>
      <c r="C23" s="17" t="inlineStr">
        <is>
          <t>kN·m</t>
        </is>
      </c>
      <c r="D23" s="26">
        <f>ABS(($D$10*$D$8/1000+$D$12*$D$8^2/2/1000000))</f>
        <v/>
      </c>
      <c r="E23" s="25" t="n">
        <v>13.4999999391892</v>
      </c>
      <c r="F23" s="27">
        <f>E23-D23</f>
        <v/>
      </c>
      <c r="G23" s="28">
        <f>IF(ABS(D23)&gt;0.000000000001,F23/D23,"—")</f>
        <v/>
      </c>
      <c r="H23" s="29" t="n">
        <v>0.0001</v>
      </c>
      <c r="I23" s="30" t="n">
        <v>1e-06</v>
      </c>
      <c r="J23" s="31">
        <f>IF(ABS(F23)&lt;=MAX(H23*ABS(D23),I23),"OK","NO")</f>
        <v/>
      </c>
      <c r="K23" s="17" t="inlineStr">
        <is>
          <t>Fórmula</t>
        </is>
      </c>
      <c r="L23" s="9" t="inlineStr">
        <is>
          <t>(Fy*L/1000+wy*L^2/2/1000000)</t>
        </is>
      </c>
      <c r="M23" s="9" t="inlineStr">
        <is>
          <t>Reacción Mx en el nudo 1 · combinación «C1: Hx + Hy»</t>
        </is>
      </c>
      <c r="N23" s="9" t="inlineStr">
        <is>
          <t>Se comparan valores absolutos (la convención de signo es independiente del resultado).</t>
        </is>
      </c>
    </row>
    <row r="25">
      <c r="B25" s="4" t="inlineStr">
        <is>
          <t>Comprobaciones dentro de tolerancia</t>
        </is>
      </c>
      <c r="D25" s="4">
        <f>COUNTIF(J18:J23,"OK")</f>
        <v/>
      </c>
      <c r="E25" s="4">
        <f>ROWS(J18:J23)</f>
        <v/>
      </c>
      <c r="F25" s="4">
        <f>IF(D25=E25,"VERIFICA","DIFIERE")</f>
        <v/>
      </c>
    </row>
    <row r="26">
      <c r="B26" s="2" t="inlineStr">
        <is>
          <t>Azul = dato ingresado o valor que entregó el programa (pegado); negro = fórmula de Excel. El valor «Programa» es el resultado del motor de cálculo de la app para el mismo modelo.</t>
        </is>
      </c>
    </row>
  </sheetData>
  <mergeCells count="1">
    <mergeCell ref="A3:L3"/>
  </mergeCells>
  <conditionalFormatting sqref="J18:J23">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27.xml><?xml version="1.0" encoding="utf-8"?>
<worksheet xmlns="http://schemas.openxmlformats.org/spreadsheetml/2006/main">
  <sheetPr>
    <outlinePr summaryBelow="1" summaryRight="1"/>
    <pageSetUpPr fitToPage="1"/>
  </sheetPr>
  <dimension ref="A1:N23"/>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C15 · Barra girada (ángulo β): eje fuerte, débil e inclinado</t>
        </is>
      </c>
    </row>
    <row r="2">
      <c r="A2" s="2" t="inlineStr">
        <is>
          <t>Solución clásica.  Fuente: Soluciones clásicas de resistencia de materiales y análisis estructural (tablas de vigas, método de pendiente-deflexión, método de los nudos, castigliano)</t>
        </is>
      </c>
    </row>
    <row r="3" ht="30" customHeight="1">
      <c r="A3" s="14" t="inlineStr">
        <is>
          <t>Enunciado. Tres voladizos UPN 200 de 2,00 m con 2 kN hacia abajo en la punta, uno sin giro (β = 0°), otro girado 45° y otro girado 90°. Con β = 0° flexiona con el eje fuerte, con 90° con el débil, y con 45° la carga se descompone en los ejes principales: δz = (PL³/6E)(1/Is + 1/Iw), δy = (PL³/6E)(1/Iw − 1/Is).</t>
        </is>
      </c>
    </row>
    <row r="5">
      <c r="A5" s="22" t="inlineStr">
        <is>
          <t>DATOS DEL EJERCICIO</t>
        </is>
      </c>
      <c r="B5" s="22" t="n"/>
      <c r="C5" s="22" t="n"/>
      <c r="D5" s="22" t="n"/>
      <c r="E5" s="22" t="n"/>
      <c r="F5" s="22" t="n"/>
      <c r="G5" s="22" t="n"/>
      <c r="H5" s="22" t="n"/>
      <c r="I5" s="22" t="n"/>
      <c r="J5" s="22" t="n"/>
      <c r="K5" s="22" t="n"/>
      <c r="L5" s="22" t="n"/>
      <c r="M5" s="22" t="n"/>
      <c r="N5" s="22" t="n"/>
    </row>
    <row r="6">
      <c r="A6" s="5" t="inlineStr">
        <is>
          <t>#</t>
        </is>
      </c>
      <c r="B6" s="5" t="inlineStr">
        <is>
          <t>Dato</t>
        </is>
      </c>
      <c r="C6" s="5" t="inlineStr">
        <is>
          <t>Unidad</t>
        </is>
      </c>
      <c r="D6" s="5" t="inlineStr">
        <is>
          <t>Valor</t>
        </is>
      </c>
      <c r="K6" s="5" t="inlineStr">
        <is>
          <t>Símbolo</t>
        </is>
      </c>
      <c r="L6" s="5" t="inlineStr">
        <is>
          <t>Fórmula (texto)</t>
        </is>
      </c>
    </row>
    <row r="7">
      <c r="A7" s="17" t="n">
        <v>1</v>
      </c>
      <c r="B7" s="8" t="inlineStr">
        <is>
          <t>Módulo elástico</t>
        </is>
      </c>
      <c r="C7" s="17" t="inlineStr">
        <is>
          <t>MPa</t>
        </is>
      </c>
      <c r="D7" s="23" t="n">
        <v>200000</v>
      </c>
      <c r="K7" s="17" t="inlineStr">
        <is>
          <t>E</t>
        </is>
      </c>
      <c r="L7" s="24" t="inlineStr">
        <is>
          <t>dato ingresado</t>
        </is>
      </c>
    </row>
    <row r="8">
      <c r="A8" s="17" t="n">
        <v>2</v>
      </c>
      <c r="B8" s="8" t="inlineStr">
        <is>
          <t>Largo</t>
        </is>
      </c>
      <c r="C8" s="17" t="inlineStr">
        <is>
          <t>mm</t>
        </is>
      </c>
      <c r="D8" s="23" t="n">
        <v>2000</v>
      </c>
      <c r="K8" s="17" t="inlineStr">
        <is>
          <t>L</t>
        </is>
      </c>
      <c r="L8" s="24" t="inlineStr">
        <is>
          <t>dato ingresado</t>
        </is>
      </c>
    </row>
    <row r="9">
      <c r="A9" s="17" t="n">
        <v>3</v>
      </c>
      <c r="B9" s="8" t="inlineStr">
        <is>
          <t>Carga en la punta</t>
        </is>
      </c>
      <c r="C9" s="17" t="inlineStr">
        <is>
          <t>kN</t>
        </is>
      </c>
      <c r="D9" s="25" t="n">
        <v>2</v>
      </c>
      <c r="K9" s="17" t="inlineStr">
        <is>
          <t>P</t>
        </is>
      </c>
      <c r="L9" s="24" t="inlineStr">
        <is>
          <t>dato ingresado</t>
        </is>
      </c>
    </row>
    <row r="10">
      <c r="A10" s="17" t="n">
        <v>4</v>
      </c>
      <c r="B10" s="8" t="inlineStr">
        <is>
          <t>Ix UPN 200</t>
        </is>
      </c>
      <c r="C10" s="17" t="inlineStr">
        <is>
          <t>mm⁴</t>
        </is>
      </c>
      <c r="D10" s="35" t="n">
        <v>19100000</v>
      </c>
      <c r="K10" s="17" t="inlineStr">
        <is>
          <t>Is</t>
        </is>
      </c>
      <c r="L10" s="24" t="inlineStr">
        <is>
          <t>dato ingresado</t>
        </is>
      </c>
    </row>
    <row r="11">
      <c r="A11" s="17" t="n">
        <v>5</v>
      </c>
      <c r="B11" s="8" t="inlineStr">
        <is>
          <t>Iy UPN 200</t>
        </is>
      </c>
      <c r="C11" s="17" t="inlineStr">
        <is>
          <t>mm⁴</t>
        </is>
      </c>
      <c r="D11" s="23" t="n">
        <v>1480000</v>
      </c>
      <c r="K11" s="17" t="inlineStr">
        <is>
          <t>Iw</t>
        </is>
      </c>
      <c r="L11" s="24" t="inlineStr">
        <is>
          <t>dato ingresado</t>
        </is>
      </c>
    </row>
    <row r="13">
      <c r="A13" s="22" t="inlineStr">
        <is>
          <t>COMPARACIÓN: TEORÍA / DATO PUBLICADO  vs  PROGRAMA (Atlas Estructuras 3D)</t>
        </is>
      </c>
      <c r="B13" s="22" t="n"/>
      <c r="C13" s="22" t="n"/>
      <c r="D13" s="22" t="n"/>
      <c r="E13" s="22" t="n"/>
      <c r="F13" s="22" t="n"/>
      <c r="G13" s="22" t="n"/>
      <c r="H13" s="22" t="n"/>
      <c r="I13" s="22" t="n"/>
      <c r="J13" s="22" t="n"/>
      <c r="K13" s="22" t="n"/>
      <c r="L13" s="22" t="n"/>
      <c r="M13" s="22" t="n"/>
      <c r="N13" s="22" t="n"/>
    </row>
    <row r="14" ht="30" customHeight="1">
      <c r="A14" s="5" t="inlineStr">
        <is>
          <t>#</t>
        </is>
      </c>
      <c r="B14" s="5" t="inlineStr">
        <is>
          <t>Comprobación</t>
        </is>
      </c>
      <c r="C14" s="5" t="inlineStr">
        <is>
          <t>Unidad</t>
        </is>
      </c>
      <c r="D14" s="5" t="inlineStr">
        <is>
          <t>Teoría / publicado</t>
        </is>
      </c>
      <c r="E14" s="5" t="inlineStr">
        <is>
          <t>Programa</t>
        </is>
      </c>
      <c r="F14" s="5" t="inlineStr">
        <is>
          <t>Diferencia (prog. − teoría)</t>
        </is>
      </c>
      <c r="G14" s="5" t="inlineStr">
        <is>
          <t>Error relativo</t>
        </is>
      </c>
      <c r="H14" s="5" t="inlineStr">
        <is>
          <t>Tol. relativa</t>
        </is>
      </c>
      <c r="I14" s="5" t="inlineStr">
        <is>
          <t>Tol. absoluta</t>
        </is>
      </c>
      <c r="J14" s="5" t="inlineStr">
        <is>
          <t>Estado</t>
        </is>
      </c>
      <c r="K14" s="5" t="inlineStr">
        <is>
          <t>Origen</t>
        </is>
      </c>
      <c r="L14" s="5" t="inlineStr">
        <is>
          <t>Expresión de la teoría (texto)</t>
        </is>
      </c>
      <c r="M14" s="5" t="inlineStr">
        <is>
          <t>Dónde se lee en el programa</t>
        </is>
      </c>
      <c r="N14" s="5" t="inlineStr">
        <is>
          <t>Nota</t>
        </is>
      </c>
    </row>
    <row r="15" ht="16" customHeight="1">
      <c r="A15" s="17" t="n">
        <v>1</v>
      </c>
      <c r="B15" s="8" t="inlineStr">
        <is>
          <t>Descenso con β = 0° (eje fuerte)</t>
        </is>
      </c>
      <c r="C15" s="17" t="inlineStr">
        <is>
          <t>mm</t>
        </is>
      </c>
      <c r="D15" s="26">
        <f>-$D$9*1000*$D$8^3/(3*$D$7*$D$10)</f>
        <v/>
      </c>
      <c r="E15" s="25" t="n">
        <v>-1.396160557915994</v>
      </c>
      <c r="F15" s="27">
        <f>E15-D15</f>
        <v/>
      </c>
      <c r="G15" s="28">
        <f>IF(ABS(D15)&gt;0.000000000001,F15/D15,"—")</f>
        <v/>
      </c>
      <c r="H15" s="29" t="n">
        <v>0.0001</v>
      </c>
      <c r="I15" s="30" t="n">
        <v>1e-06</v>
      </c>
      <c r="J15" s="31">
        <f>IF(ABS(F15)&lt;=MAX(H15*ABS(D15),I15),"OK","NO")</f>
        <v/>
      </c>
      <c r="K15" s="17" t="inlineStr">
        <is>
          <t>Fórmula</t>
        </is>
      </c>
      <c r="L15" s="9" t="inlineStr">
        <is>
          <t>-P*1000*L^3/(3*E*Is)</t>
        </is>
      </c>
      <c r="M15" s="9" t="inlineStr">
        <is>
          <t>Desplazamiento Uz del nudo 2 · combinación «C1: 1,0·D»</t>
        </is>
      </c>
      <c r="N15" s="9" t="inlineStr"/>
    </row>
    <row r="16" ht="16" customHeight="1">
      <c r="A16" s="17" t="n">
        <v>2</v>
      </c>
      <c r="B16" s="8" t="inlineStr">
        <is>
          <t>Corrimiento lateral con β = 0°</t>
        </is>
      </c>
      <c r="C16" s="17" t="inlineStr">
        <is>
          <t>mm</t>
        </is>
      </c>
      <c r="D16" s="36">
        <f>0</f>
        <v/>
      </c>
      <c r="E16" s="37" t="n">
        <v>0</v>
      </c>
      <c r="F16" s="27">
        <f>E16-D16</f>
        <v/>
      </c>
      <c r="G16" s="28">
        <f>IF(ABS(D16)&gt;0.000000000001,F16/D16,"—")</f>
        <v/>
      </c>
      <c r="H16" s="29" t="n">
        <v>0.0001</v>
      </c>
      <c r="I16" s="30" t="n">
        <v>1e-06</v>
      </c>
      <c r="J16" s="31">
        <f>IF(ABS(F16)&lt;=MAX(H16*ABS(D16),I16),"OK","NO")</f>
        <v/>
      </c>
      <c r="K16" s="17" t="inlineStr">
        <is>
          <t>Fórmula</t>
        </is>
      </c>
      <c r="L16" s="9" t="inlineStr">
        <is>
          <t>0</t>
        </is>
      </c>
      <c r="M16" s="9" t="inlineStr">
        <is>
          <t>Desplazamiento Uy del nudo 2 · combinación «C1: 1,0·D»</t>
        </is>
      </c>
      <c r="N16" s="9" t="inlineStr"/>
    </row>
    <row r="17" ht="16" customHeight="1">
      <c r="A17" s="17" t="n">
        <v>3</v>
      </c>
      <c r="B17" s="8" t="inlineStr">
        <is>
          <t>Descenso con β = 45°</t>
        </is>
      </c>
      <c r="C17" s="17" t="inlineStr">
        <is>
          <t>mm</t>
        </is>
      </c>
      <c r="D17" s="26">
        <f>-$D$9*1000*$D$8^3/(6*$D$7)*(1/$D$10+1/$D$11)</f>
        <v/>
      </c>
      <c r="E17" s="25" t="n">
        <v>-9.707089242313225</v>
      </c>
      <c r="F17" s="27">
        <f>E17-D17</f>
        <v/>
      </c>
      <c r="G17" s="28">
        <f>IF(ABS(D17)&gt;0.000000000001,F17/D17,"—")</f>
        <v/>
      </c>
      <c r="H17" s="29" t="n">
        <v>0.0001</v>
      </c>
      <c r="I17" s="30" t="n">
        <v>1e-06</v>
      </c>
      <c r="J17" s="31">
        <f>IF(ABS(F17)&lt;=MAX(H17*ABS(D17),I17),"OK","NO")</f>
        <v/>
      </c>
      <c r="K17" s="17" t="inlineStr">
        <is>
          <t>Fórmula</t>
        </is>
      </c>
      <c r="L17" s="9" t="inlineStr">
        <is>
          <t>-P*1000*L^3/(6*E)*(1/Is+1/Iw)</t>
        </is>
      </c>
      <c r="M17" s="9" t="inlineStr">
        <is>
          <t>Desplazamiento Uz del nudo 4 · combinación «C1: 1,0·D»</t>
        </is>
      </c>
      <c r="N17" s="9" t="inlineStr"/>
    </row>
    <row r="18" ht="16" customHeight="1">
      <c r="A18" s="17" t="n">
        <v>4</v>
      </c>
      <c r="B18" s="8" t="inlineStr">
        <is>
          <t>Corrimiento lateral con β = 45°</t>
        </is>
      </c>
      <c r="C18" s="17" t="inlineStr">
        <is>
          <t>mm</t>
        </is>
      </c>
      <c r="D18" s="26">
        <f>ABS($D$9*1000*$D$8^3/(6*$D$7)*(1/$D$11-1/$D$10))</f>
        <v/>
      </c>
      <c r="E18" s="25" t="n">
        <v>8.310928684397231</v>
      </c>
      <c r="F18" s="27">
        <f>E18-D18</f>
        <v/>
      </c>
      <c r="G18" s="28">
        <f>IF(ABS(D18)&gt;0.000000000001,F18/D18,"—")</f>
        <v/>
      </c>
      <c r="H18" s="29" t="n">
        <v>0.0001</v>
      </c>
      <c r="I18" s="30" t="n">
        <v>1e-06</v>
      </c>
      <c r="J18" s="31">
        <f>IF(ABS(F18)&lt;=MAX(H18*ABS(D18),I18),"OK","NO")</f>
        <v/>
      </c>
      <c r="K18" s="17" t="inlineStr">
        <is>
          <t>Fórmula</t>
        </is>
      </c>
      <c r="L18" s="9" t="inlineStr">
        <is>
          <t>P*1000*L^3/(6*E)*(1/Iw-1/Is)</t>
        </is>
      </c>
      <c r="M18" s="9" t="inlineStr">
        <is>
          <t>Desplazamiento Uy del nudo 4 · combinación «C1: 1,0·D»</t>
        </is>
      </c>
      <c r="N18" s="9" t="inlineStr">
        <is>
          <t>Se comparan valores absolutos (la convención de signo es independiente del resultado).</t>
        </is>
      </c>
    </row>
    <row r="19" ht="16" customHeight="1">
      <c r="A19" s="17" t="n">
        <v>5</v>
      </c>
      <c r="B19" s="8" t="inlineStr">
        <is>
          <t>Descenso con β = 90° (eje débil)</t>
        </is>
      </c>
      <c r="C19" s="17" t="inlineStr">
        <is>
          <t>mm</t>
        </is>
      </c>
      <c r="D19" s="26">
        <f>-$D$9*1000*$D$8^3/(3*$D$7*$D$11)</f>
        <v/>
      </c>
      <c r="E19" s="25" t="n">
        <v>-18.01801792671051</v>
      </c>
      <c r="F19" s="27">
        <f>E19-D19</f>
        <v/>
      </c>
      <c r="G19" s="28">
        <f>IF(ABS(D19)&gt;0.000000000001,F19/D19,"—")</f>
        <v/>
      </c>
      <c r="H19" s="29" t="n">
        <v>0.0001</v>
      </c>
      <c r="I19" s="30" t="n">
        <v>1e-06</v>
      </c>
      <c r="J19" s="31">
        <f>IF(ABS(F19)&lt;=MAX(H19*ABS(D19),I19),"OK","NO")</f>
        <v/>
      </c>
      <c r="K19" s="17" t="inlineStr">
        <is>
          <t>Fórmula</t>
        </is>
      </c>
      <c r="L19" s="9" t="inlineStr">
        <is>
          <t>-P*1000*L^3/(3*E*Iw)</t>
        </is>
      </c>
      <c r="M19" s="9" t="inlineStr">
        <is>
          <t>Desplazamiento Uz del nudo 6 · combinación «C1: 1,0·D»</t>
        </is>
      </c>
      <c r="N19" s="9" t="inlineStr"/>
    </row>
    <row r="20" ht="16" customHeight="1">
      <c r="A20" s="17" t="n">
        <v>6</v>
      </c>
      <c r="B20" s="8" t="inlineStr">
        <is>
          <t>Corrimiento lateral con β = 90°</t>
        </is>
      </c>
      <c r="C20" s="17" t="inlineStr">
        <is>
          <t>mm</t>
        </is>
      </c>
      <c r="D20" s="33">
        <f>0</f>
        <v/>
      </c>
      <c r="E20" s="34" t="n">
        <v>-1.017795221128903e-15</v>
      </c>
      <c r="F20" s="27">
        <f>E20-D20</f>
        <v/>
      </c>
      <c r="G20" s="28">
        <f>IF(ABS(D20)&gt;0.000000000001,F20/D20,"—")</f>
        <v/>
      </c>
      <c r="H20" s="29" t="n">
        <v>0.0001</v>
      </c>
      <c r="I20" s="30" t="n">
        <v>1e-06</v>
      </c>
      <c r="J20" s="31">
        <f>IF(ABS(F20)&lt;=MAX(H20*ABS(D20),I20),"OK","NO")</f>
        <v/>
      </c>
      <c r="K20" s="17" t="inlineStr">
        <is>
          <t>Fórmula</t>
        </is>
      </c>
      <c r="L20" s="9" t="inlineStr">
        <is>
          <t>0</t>
        </is>
      </c>
      <c r="M20" s="9" t="inlineStr">
        <is>
          <t>Desplazamiento Uy del nudo 6 · combinación «C1: 1,0·D»</t>
        </is>
      </c>
      <c r="N20" s="9" t="inlineStr"/>
    </row>
    <row r="22">
      <c r="B22" s="4" t="inlineStr">
        <is>
          <t>Comprobaciones dentro de tolerancia</t>
        </is>
      </c>
      <c r="D22" s="4">
        <f>COUNTIF(J15:J20,"OK")</f>
        <v/>
      </c>
      <c r="E22" s="4">
        <f>ROWS(J15:J20)</f>
        <v/>
      </c>
      <c r="F22" s="4">
        <f>IF(D22=E22,"VERIFICA","DIFIERE")</f>
        <v/>
      </c>
    </row>
    <row r="23">
      <c r="B23" s="2" t="inlineStr">
        <is>
          <t>Azul = dato ingresado o valor que entregó el programa (pegado); negro = fórmula de Excel. El valor «Programa» es el resultado del motor de cálculo de la app para el mismo modelo.</t>
        </is>
      </c>
    </row>
  </sheetData>
  <mergeCells count="1">
    <mergeCell ref="A3:L3"/>
  </mergeCells>
  <conditionalFormatting sqref="J15:J20">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28.xml><?xml version="1.0" encoding="utf-8"?>
<worksheet xmlns="http://schemas.openxmlformats.org/spreadsheetml/2006/main">
  <sheetPr>
    <outlinePr summaryBelow="1" summaryRight="1"/>
    <pageSetUpPr fitToPage="1"/>
  </sheetPr>
  <dimension ref="A1:N30"/>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C16 · Voladizo inclinado 30° con carga vertical</t>
        </is>
      </c>
    </row>
    <row r="2">
      <c r="A2" s="2" t="inlineStr">
        <is>
          <t>Solución clásica.  Fuente: Soluciones clásicas de resistencia de materiales y análisis estructural (tablas de vigas, método de pendiente-deflexión, método de los nudos, castigliano)</t>
        </is>
      </c>
    </row>
    <row r="3" ht="30" customHeight="1">
      <c r="A3" s="14" t="inlineStr">
        <is>
          <t>Enunciado. Barra UPN 160 de 3,00 m empotrada en el origen e inclinada 30° sobre la horizontal en el plano XZ, con 10 kN verticales hacia abajo en la punta. Descompuesta la carga en axil (P·sen θ, compresión) y transversal (P·cos θ), el desplazamiento de la punta se proyecta a ejes globales.</t>
        </is>
      </c>
    </row>
    <row r="5">
      <c r="A5" s="22" t="inlineStr">
        <is>
          <t>DATOS DEL EJERCICIO</t>
        </is>
      </c>
      <c r="B5" s="22" t="n"/>
      <c r="C5" s="22" t="n"/>
      <c r="D5" s="22" t="n"/>
      <c r="E5" s="22" t="n"/>
      <c r="F5" s="22" t="n"/>
      <c r="G5" s="22" t="n"/>
      <c r="H5" s="22" t="n"/>
      <c r="I5" s="22" t="n"/>
      <c r="J5" s="22" t="n"/>
      <c r="K5" s="22" t="n"/>
      <c r="L5" s="22" t="n"/>
      <c r="M5" s="22" t="n"/>
      <c r="N5" s="22" t="n"/>
    </row>
    <row r="6">
      <c r="A6" s="5" t="inlineStr">
        <is>
          <t>#</t>
        </is>
      </c>
      <c r="B6" s="5" t="inlineStr">
        <is>
          <t>Dato</t>
        </is>
      </c>
      <c r="C6" s="5" t="inlineStr">
        <is>
          <t>Unidad</t>
        </is>
      </c>
      <c r="D6" s="5" t="inlineStr">
        <is>
          <t>Valor</t>
        </is>
      </c>
      <c r="K6" s="5" t="inlineStr">
        <is>
          <t>Símbolo</t>
        </is>
      </c>
      <c r="L6" s="5" t="inlineStr">
        <is>
          <t>Fórmula (texto)</t>
        </is>
      </c>
    </row>
    <row r="7">
      <c r="A7" s="17" t="n">
        <v>1</v>
      </c>
      <c r="B7" s="8" t="inlineStr">
        <is>
          <t>Módulo elástico</t>
        </is>
      </c>
      <c r="C7" s="17" t="inlineStr">
        <is>
          <t>MPa</t>
        </is>
      </c>
      <c r="D7" s="23" t="n">
        <v>200000</v>
      </c>
      <c r="K7" s="17" t="inlineStr">
        <is>
          <t>E</t>
        </is>
      </c>
      <c r="L7" s="24" t="inlineStr">
        <is>
          <t>dato ingresado</t>
        </is>
      </c>
    </row>
    <row r="8">
      <c r="A8" s="17" t="n">
        <v>2</v>
      </c>
      <c r="B8" s="8" t="inlineStr">
        <is>
          <t>Largo</t>
        </is>
      </c>
      <c r="C8" s="17" t="inlineStr">
        <is>
          <t>mm</t>
        </is>
      </c>
      <c r="D8" s="23" t="n">
        <v>3000</v>
      </c>
      <c r="K8" s="17" t="inlineStr">
        <is>
          <t>L</t>
        </is>
      </c>
      <c r="L8" s="24" t="inlineStr">
        <is>
          <t>dato ingresado</t>
        </is>
      </c>
    </row>
    <row r="9">
      <c r="A9" s="17" t="n">
        <v>3</v>
      </c>
      <c r="B9" s="8" t="inlineStr">
        <is>
          <t>Inclinación sobre la horizontal</t>
        </is>
      </c>
      <c r="C9" s="17" t="inlineStr">
        <is>
          <t>°</t>
        </is>
      </c>
      <c r="D9" s="25" t="n">
        <v>30</v>
      </c>
      <c r="K9" s="17" t="inlineStr">
        <is>
          <t>ang</t>
        </is>
      </c>
      <c r="L9" s="24" t="inlineStr">
        <is>
          <t>dato ingresado</t>
        </is>
      </c>
    </row>
    <row r="10">
      <c r="A10" s="17" t="n">
        <v>4</v>
      </c>
      <c r="B10" s="8" t="inlineStr">
        <is>
          <t>Carga vertical</t>
        </is>
      </c>
      <c r="C10" s="17" t="inlineStr">
        <is>
          <t>kN</t>
        </is>
      </c>
      <c r="D10" s="25" t="n">
        <v>10</v>
      </c>
      <c r="K10" s="17" t="inlineStr">
        <is>
          <t>P</t>
        </is>
      </c>
      <c r="L10" s="24" t="inlineStr">
        <is>
          <t>dato ingresado</t>
        </is>
      </c>
    </row>
    <row r="11">
      <c r="A11" s="17" t="n">
        <v>5</v>
      </c>
      <c r="B11" s="8" t="inlineStr">
        <is>
          <t>Área UPN 160</t>
        </is>
      </c>
      <c r="C11" s="17" t="inlineStr">
        <is>
          <t>mm²</t>
        </is>
      </c>
      <c r="D11" s="23" t="n">
        <v>2400</v>
      </c>
      <c r="K11" s="17" t="inlineStr">
        <is>
          <t>A</t>
        </is>
      </c>
      <c r="L11" s="24" t="inlineStr">
        <is>
          <t>dato ingresado</t>
        </is>
      </c>
    </row>
    <row r="12">
      <c r="A12" s="17" t="n">
        <v>6</v>
      </c>
      <c r="B12" s="8" t="inlineStr">
        <is>
          <t>Ix UPN 160 (tabla: 925 cm⁴)</t>
        </is>
      </c>
      <c r="C12" s="17" t="inlineStr">
        <is>
          <t>mm⁴</t>
        </is>
      </c>
      <c r="D12" s="23" t="n">
        <v>9250000</v>
      </c>
      <c r="K12" s="17" t="inlineStr">
        <is>
          <t>I</t>
        </is>
      </c>
      <c r="L12" s="24" t="inlineStr">
        <is>
          <t>dato ingresado</t>
        </is>
      </c>
    </row>
    <row r="13">
      <c r="A13" s="17" t="n">
        <v>7</v>
      </c>
      <c r="B13" s="8" t="inlineStr">
        <is>
          <t>Inclinación</t>
        </is>
      </c>
      <c r="C13" s="17" t="inlineStr">
        <is>
          <t>rad</t>
        </is>
      </c>
      <c r="D13" s="36">
        <f>$D$9*PI()/180</f>
        <v/>
      </c>
      <c r="K13" s="17" t="inlineStr">
        <is>
          <t>th</t>
        </is>
      </c>
      <c r="L13" s="24" t="inlineStr">
        <is>
          <t>valor = ang*PI()/180</t>
        </is>
      </c>
    </row>
    <row r="14">
      <c r="A14" s="17" t="n">
        <v>8</v>
      </c>
      <c r="B14" s="8" t="inlineStr">
        <is>
          <t>cos θ</t>
        </is>
      </c>
      <c r="C14" s="17" t="inlineStr"/>
      <c r="D14" s="36">
        <f>COS($D$13)</f>
        <v/>
      </c>
      <c r="K14" s="17" t="inlineStr">
        <is>
          <t>c</t>
        </is>
      </c>
      <c r="L14" s="24" t="inlineStr">
        <is>
          <t>valor = COS(th)</t>
        </is>
      </c>
    </row>
    <row r="15">
      <c r="A15" s="17" t="n">
        <v>9</v>
      </c>
      <c r="B15" s="8" t="inlineStr">
        <is>
          <t>sen θ</t>
        </is>
      </c>
      <c r="C15" s="17" t="inlineStr"/>
      <c r="D15" s="36">
        <f>SIN($D$13)</f>
        <v/>
      </c>
      <c r="K15" s="17" t="inlineStr">
        <is>
          <t>s</t>
        </is>
      </c>
      <c r="L15" s="24" t="inlineStr">
        <is>
          <t>valor = SIN(th)</t>
        </is>
      </c>
    </row>
    <row r="16">
      <c r="A16" s="17" t="n">
        <v>10</v>
      </c>
      <c r="B16" s="8" t="inlineStr">
        <is>
          <t>Acortamiento axil de la punta</t>
        </is>
      </c>
      <c r="C16" s="17" t="inlineStr">
        <is>
          <t>mm</t>
        </is>
      </c>
      <c r="D16" s="36">
        <f>-$D$10*1000*$D$15*$D$8/($D$7*$D$11)</f>
        <v/>
      </c>
      <c r="K16" s="17" t="inlineStr">
        <is>
          <t>ua</t>
        </is>
      </c>
      <c r="L16" s="24" t="inlineStr">
        <is>
          <t>valor = -P*1000*s*L/(E*A)</t>
        </is>
      </c>
    </row>
    <row r="17">
      <c r="A17" s="17" t="n">
        <v>11</v>
      </c>
      <c r="B17" s="8" t="inlineStr">
        <is>
          <t>Flecha transversal de la punta</t>
        </is>
      </c>
      <c r="C17" s="17" t="inlineStr">
        <is>
          <t>mm</t>
        </is>
      </c>
      <c r="D17" s="26">
        <f>-$D$10*1000*$D$14*$D$8^3/(3*$D$7*$D$12)</f>
        <v/>
      </c>
      <c r="K17" s="17" t="inlineStr">
        <is>
          <t>ut</t>
        </is>
      </c>
      <c r="L17" s="24" t="inlineStr">
        <is>
          <t>valor = -P*1000*c*L^3/(3*E*I)</t>
        </is>
      </c>
    </row>
    <row r="19">
      <c r="A19" s="22" t="inlineStr">
        <is>
          <t>COMPARACIÓN: TEORÍA / DATO PUBLICADO  vs  PROGRAMA (Atlas Estructuras 3D)</t>
        </is>
      </c>
      <c r="B19" s="22" t="n"/>
      <c r="C19" s="22" t="n"/>
      <c r="D19" s="22" t="n"/>
      <c r="E19" s="22" t="n"/>
      <c r="F19" s="22" t="n"/>
      <c r="G19" s="22" t="n"/>
      <c r="H19" s="22" t="n"/>
      <c r="I19" s="22" t="n"/>
      <c r="J19" s="22" t="n"/>
      <c r="K19" s="22" t="n"/>
      <c r="L19" s="22" t="n"/>
      <c r="M19" s="22" t="n"/>
      <c r="N19" s="22" t="n"/>
    </row>
    <row r="20" ht="30" customHeight="1">
      <c r="A20" s="5" t="inlineStr">
        <is>
          <t>#</t>
        </is>
      </c>
      <c r="B20" s="5" t="inlineStr">
        <is>
          <t>Comprobación</t>
        </is>
      </c>
      <c r="C20" s="5" t="inlineStr">
        <is>
          <t>Unidad</t>
        </is>
      </c>
      <c r="D20" s="5" t="inlineStr">
        <is>
          <t>Teoría / publicado</t>
        </is>
      </c>
      <c r="E20" s="5" t="inlineStr">
        <is>
          <t>Programa</t>
        </is>
      </c>
      <c r="F20" s="5" t="inlineStr">
        <is>
          <t>Diferencia (prog. − teoría)</t>
        </is>
      </c>
      <c r="G20" s="5" t="inlineStr">
        <is>
          <t>Error relativo</t>
        </is>
      </c>
      <c r="H20" s="5" t="inlineStr">
        <is>
          <t>Tol. relativa</t>
        </is>
      </c>
      <c r="I20" s="5" t="inlineStr">
        <is>
          <t>Tol. absoluta</t>
        </is>
      </c>
      <c r="J20" s="5" t="inlineStr">
        <is>
          <t>Estado</t>
        </is>
      </c>
      <c r="K20" s="5" t="inlineStr">
        <is>
          <t>Origen</t>
        </is>
      </c>
      <c r="L20" s="5" t="inlineStr">
        <is>
          <t>Expresión de la teoría (texto)</t>
        </is>
      </c>
      <c r="M20" s="5" t="inlineStr">
        <is>
          <t>Dónde se lee en el programa</t>
        </is>
      </c>
      <c r="N20" s="5" t="inlineStr">
        <is>
          <t>Nota</t>
        </is>
      </c>
    </row>
    <row r="21" ht="16" customHeight="1">
      <c r="A21" s="17" t="n">
        <v>1</v>
      </c>
      <c r="B21" s="8" t="inlineStr">
        <is>
          <t>Desplazamiento horizontal de la punta</t>
        </is>
      </c>
      <c r="C21" s="17" t="inlineStr">
        <is>
          <t>mm</t>
        </is>
      </c>
      <c r="D21" s="26">
        <f>$D$16*$D$14-$D$17*$D$15</f>
        <v/>
      </c>
      <c r="E21" s="25" t="n">
        <v>21.03841947526702</v>
      </c>
      <c r="F21" s="27">
        <f>E21-D21</f>
        <v/>
      </c>
      <c r="G21" s="28">
        <f>IF(ABS(D21)&gt;0.000000000001,F21/D21,"—")</f>
        <v/>
      </c>
      <c r="H21" s="29" t="n">
        <v>0.0001</v>
      </c>
      <c r="I21" s="30" t="n">
        <v>1e-06</v>
      </c>
      <c r="J21" s="31">
        <f>IF(ABS(F21)&lt;=MAX(H21*ABS(D21),I21),"OK","NO")</f>
        <v/>
      </c>
      <c r="K21" s="17" t="inlineStr">
        <is>
          <t>Fórmula</t>
        </is>
      </c>
      <c r="L21" s="9" t="inlineStr">
        <is>
          <t>ua*c-ut*s</t>
        </is>
      </c>
      <c r="M21" s="9" t="inlineStr">
        <is>
          <t>Desplazamiento Ux del nudo 2 · combinación «C1: 1,0·D»</t>
        </is>
      </c>
      <c r="N21" s="9" t="inlineStr"/>
    </row>
    <row r="22" ht="16" customHeight="1">
      <c r="A22" s="17" t="n">
        <v>2</v>
      </c>
      <c r="B22" s="8" t="inlineStr">
        <is>
          <t>Desplazamiento vertical de la punta</t>
        </is>
      </c>
      <c r="C22" s="17" t="inlineStr">
        <is>
          <t>mm</t>
        </is>
      </c>
      <c r="D22" s="26">
        <f>$D$16*$D$15+$D$17*$D$14</f>
        <v/>
      </c>
      <c r="E22" s="25" t="n">
        <v>-36.50211144210905</v>
      </c>
      <c r="F22" s="27">
        <f>E22-D22</f>
        <v/>
      </c>
      <c r="G22" s="28">
        <f>IF(ABS(D22)&gt;0.000000000001,F22/D22,"—")</f>
        <v/>
      </c>
      <c r="H22" s="29" t="n">
        <v>0.0001</v>
      </c>
      <c r="I22" s="30" t="n">
        <v>1e-06</v>
      </c>
      <c r="J22" s="31">
        <f>IF(ABS(F22)&lt;=MAX(H22*ABS(D22),I22),"OK","NO")</f>
        <v/>
      </c>
      <c r="K22" s="17" t="inlineStr">
        <is>
          <t>Fórmula</t>
        </is>
      </c>
      <c r="L22" s="9" t="inlineStr">
        <is>
          <t>ua*s+ut*c</t>
        </is>
      </c>
      <c r="M22" s="9" t="inlineStr">
        <is>
          <t>Desplazamiento Uz del nudo 2 · combinación «C1: 1,0·D»</t>
        </is>
      </c>
      <c r="N22" s="9" t="inlineStr"/>
    </row>
    <row r="23" ht="28" customHeight="1">
      <c r="A23" s="17" t="n">
        <v>3</v>
      </c>
      <c r="B23" s="8" t="inlineStr">
        <is>
          <t>Esfuerzo axil (compresión −)</t>
        </is>
      </c>
      <c r="C23" s="17" t="inlineStr">
        <is>
          <t>kN</t>
        </is>
      </c>
      <c r="D23" s="26">
        <f>-$D$10*$D$15</f>
        <v/>
      </c>
      <c r="E23" s="25" t="n">
        <v>-5</v>
      </c>
      <c r="F23" s="27">
        <f>E23-D23</f>
        <v/>
      </c>
      <c r="G23" s="28">
        <f>IF(ABS(D23)&gt;0.000000000001,F23/D23,"—")</f>
        <v/>
      </c>
      <c r="H23" s="29" t="n">
        <v>0.0001</v>
      </c>
      <c r="I23" s="30" t="n">
        <v>1e-06</v>
      </c>
      <c r="J23" s="31">
        <f>IF(ABS(F23)&lt;=MAX(H23*ABS(D23),I23),"OK","NO")</f>
        <v/>
      </c>
      <c r="K23" s="17" t="inlineStr">
        <is>
          <t>Fórmula</t>
        </is>
      </c>
      <c r="L23" s="9" t="inlineStr">
        <is>
          <t>-P*s</t>
        </is>
      </c>
      <c r="M23" s="9" t="inlineStr">
        <is>
          <t>Barra 1, en x = 0.5·L, esfuerzo axil N (tracción +) · combinación «C1: 1,0·D»</t>
        </is>
      </c>
      <c r="N23" s="9" t="inlineStr"/>
    </row>
    <row r="24" ht="28" customHeight="1">
      <c r="A24" s="17" t="n">
        <v>4</v>
      </c>
      <c r="B24" s="8" t="inlineStr">
        <is>
          <t>Corte transversal</t>
        </is>
      </c>
      <c r="C24" s="17" t="inlineStr">
        <is>
          <t>kN</t>
        </is>
      </c>
      <c r="D24" s="26">
        <f>ABS($D$10*$D$14)</f>
        <v/>
      </c>
      <c r="E24" s="25" t="n">
        <v>8.660254037843911</v>
      </c>
      <c r="F24" s="27">
        <f>E24-D24</f>
        <v/>
      </c>
      <c r="G24" s="28">
        <f>IF(ABS(D24)&gt;0.000000000001,F24/D24,"—")</f>
        <v/>
      </c>
      <c r="H24" s="29" t="n">
        <v>0.0001</v>
      </c>
      <c r="I24" s="30" t="n">
        <v>1e-06</v>
      </c>
      <c r="J24" s="31">
        <f>IF(ABS(F24)&lt;=MAX(H24*ABS(D24),I24),"OK","NO")</f>
        <v/>
      </c>
      <c r="K24" s="17" t="inlineStr">
        <is>
          <t>Fórmula</t>
        </is>
      </c>
      <c r="L24" s="9" t="inlineStr">
        <is>
          <t>P*c</t>
        </is>
      </c>
      <c r="M24" s="9" t="inlineStr">
        <is>
          <t>Barra 1, en x = 0.5·L, corte Vy (en el plano del alma) · combinación «C1: 1,0·D»</t>
        </is>
      </c>
      <c r="N24" s="9" t="inlineStr">
        <is>
          <t>Se comparan valores absolutos (la convención de signo es independiente del resultado).</t>
        </is>
      </c>
    </row>
    <row r="25" ht="28" customHeight="1">
      <c r="A25" s="17" t="n">
        <v>5</v>
      </c>
      <c r="B25" s="8" t="inlineStr">
        <is>
          <t>Momento en el empotramiento</t>
        </is>
      </c>
      <c r="C25" s="17" t="inlineStr">
        <is>
          <t>kN·m</t>
        </is>
      </c>
      <c r="D25" s="26">
        <f>ABS($D$10*$D$8*$D$14/1000)</f>
        <v/>
      </c>
      <c r="E25" s="25" t="n">
        <v>25.98076209246626</v>
      </c>
      <c r="F25" s="27">
        <f>E25-D25</f>
        <v/>
      </c>
      <c r="G25" s="28">
        <f>IF(ABS(D25)&gt;0.000000000001,F25/D25,"—")</f>
        <v/>
      </c>
      <c r="H25" s="29" t="n">
        <v>0.0001</v>
      </c>
      <c r="I25" s="30" t="n">
        <v>1e-06</v>
      </c>
      <c r="J25" s="31">
        <f>IF(ABS(F25)&lt;=MAX(H25*ABS(D25),I25),"OK","NO")</f>
        <v/>
      </c>
      <c r="K25" s="17" t="inlineStr">
        <is>
          <t>Fórmula</t>
        </is>
      </c>
      <c r="L25" s="9" t="inlineStr">
        <is>
          <t>P*L*c/1000</t>
        </is>
      </c>
      <c r="M25" s="9" t="inlineStr">
        <is>
          <t>Barra 1, en x = 0·L, momento flector Mz (eje fuerte) · combinación «C1: 1,0·D»</t>
        </is>
      </c>
      <c r="N25" s="9" t="inlineStr">
        <is>
          <t>Se comparan valores absolutos (la convención de signo es independiente del resultado).</t>
        </is>
      </c>
    </row>
    <row r="26" ht="16" customHeight="1">
      <c r="A26" s="17" t="n">
        <v>6</v>
      </c>
      <c r="B26" s="8" t="inlineStr">
        <is>
          <t>Reacción vertical</t>
        </is>
      </c>
      <c r="C26" s="17" t="inlineStr">
        <is>
          <t>kN</t>
        </is>
      </c>
      <c r="D26" s="26">
        <f>$D$10</f>
        <v/>
      </c>
      <c r="E26" s="25" t="n">
        <v>9.999999999999892</v>
      </c>
      <c r="F26" s="27">
        <f>E26-D26</f>
        <v/>
      </c>
      <c r="G26" s="28">
        <f>IF(ABS(D26)&gt;0.000000000001,F26/D26,"—")</f>
        <v/>
      </c>
      <c r="H26" s="29" t="n">
        <v>0.0001</v>
      </c>
      <c r="I26" s="30" t="n">
        <v>1e-06</v>
      </c>
      <c r="J26" s="31">
        <f>IF(ABS(F26)&lt;=MAX(H26*ABS(D26),I26),"OK","NO")</f>
        <v/>
      </c>
      <c r="K26" s="17" t="inlineStr">
        <is>
          <t>Fórmula</t>
        </is>
      </c>
      <c r="L26" s="9" t="inlineStr">
        <is>
          <t>P</t>
        </is>
      </c>
      <c r="M26" s="9" t="inlineStr">
        <is>
          <t>Reacción Fz en el nudo 1 · combinación «C1: 1,0·D»</t>
        </is>
      </c>
      <c r="N26" s="9" t="inlineStr"/>
    </row>
    <row r="27" ht="16" customHeight="1">
      <c r="A27" s="17" t="n">
        <v>7</v>
      </c>
      <c r="B27" s="8" t="inlineStr">
        <is>
          <t>Momento de reacción alrededor de Y</t>
        </is>
      </c>
      <c r="C27" s="17" t="inlineStr">
        <is>
          <t>kN·m</t>
        </is>
      </c>
      <c r="D27" s="26">
        <f>ABS($D$10*$D$8*$D$14/1000)</f>
        <v/>
      </c>
      <c r="E27" s="25" t="n">
        <v>25.98076209246626</v>
      </c>
      <c r="F27" s="27">
        <f>E27-D27</f>
        <v/>
      </c>
      <c r="G27" s="28">
        <f>IF(ABS(D27)&gt;0.000000000001,F27/D27,"—")</f>
        <v/>
      </c>
      <c r="H27" s="29" t="n">
        <v>0.0001</v>
      </c>
      <c r="I27" s="30" t="n">
        <v>1e-06</v>
      </c>
      <c r="J27" s="31">
        <f>IF(ABS(F27)&lt;=MAX(H27*ABS(D27),I27),"OK","NO")</f>
        <v/>
      </c>
      <c r="K27" s="17" t="inlineStr">
        <is>
          <t>Fórmula</t>
        </is>
      </c>
      <c r="L27" s="9" t="inlineStr">
        <is>
          <t>P*L*c/1000</t>
        </is>
      </c>
      <c r="M27" s="9" t="inlineStr">
        <is>
          <t>Reacción My en el nudo 1 · combinación «C1: 1,0·D»</t>
        </is>
      </c>
      <c r="N27" s="9" t="inlineStr">
        <is>
          <t>Se comparan valores absolutos (la convención de signo es independiente del resultado).</t>
        </is>
      </c>
    </row>
    <row r="29">
      <c r="B29" s="4" t="inlineStr">
        <is>
          <t>Comprobaciones dentro de tolerancia</t>
        </is>
      </c>
      <c r="D29" s="4">
        <f>COUNTIF(J21:J27,"OK")</f>
        <v/>
      </c>
      <c r="E29" s="4">
        <f>ROWS(J21:J27)</f>
        <v/>
      </c>
      <c r="F29" s="4">
        <f>IF(D29=E29,"VERIFICA","DIFIERE")</f>
        <v/>
      </c>
    </row>
    <row r="30">
      <c r="B30" s="2" t="inlineStr">
        <is>
          <t>Azul = dato ingresado o valor que entregó el programa (pegado); negro = fórmula de Excel. El valor «Programa» es el resultado del motor de cálculo de la app para el mismo modelo.</t>
        </is>
      </c>
    </row>
  </sheetData>
  <mergeCells count="1">
    <mergeCell ref="A3:L3"/>
  </mergeCells>
  <conditionalFormatting sqref="J21:J27">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29.xml><?xml version="1.0" encoding="utf-8"?>
<worksheet xmlns="http://schemas.openxmlformats.org/spreadsheetml/2006/main">
  <sheetPr>
    <outlinePr summaryBelow="1" summaryRight="1"/>
    <pageSetUpPr fitToPage="1"/>
  </sheetPr>
  <dimension ref="A1:N22"/>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C17 · Peso propio del perfil</t>
        </is>
      </c>
    </row>
    <row r="2">
      <c r="A2" s="2" t="inlineStr">
        <is>
          <t>Solución clásica.  Fuente: Soluciones clásicas de resistencia de materiales y análisis estructural (tablas de vigas, método de pendiente-deflexión, método de los nudos, castigliano)</t>
        </is>
      </c>
    </row>
    <row r="3" ht="30" customHeight="1">
      <c r="A3" s="14" t="inlineStr">
        <is>
          <t>Enunciado. Viga IPE 200 de 6,00 m biapoyada, solo con su peso propio (22,4 kg/m, g = 9,80665 m/s²). El programa suma el peso del perfil al caso D. Se verifican reacciones, flecha, momento y el peso total en kg.</t>
        </is>
      </c>
    </row>
    <row r="5">
      <c r="A5" s="22" t="inlineStr">
        <is>
          <t>DATOS DEL EJERCICIO</t>
        </is>
      </c>
      <c r="B5" s="22" t="n"/>
      <c r="C5" s="22" t="n"/>
      <c r="D5" s="22" t="n"/>
      <c r="E5" s="22" t="n"/>
      <c r="F5" s="22" t="n"/>
      <c r="G5" s="22" t="n"/>
      <c r="H5" s="22" t="n"/>
      <c r="I5" s="22" t="n"/>
      <c r="J5" s="22" t="n"/>
      <c r="K5" s="22" t="n"/>
      <c r="L5" s="22" t="n"/>
      <c r="M5" s="22" t="n"/>
      <c r="N5" s="22" t="n"/>
    </row>
    <row r="6">
      <c r="A6" s="5" t="inlineStr">
        <is>
          <t>#</t>
        </is>
      </c>
      <c r="B6" s="5" t="inlineStr">
        <is>
          <t>Dato</t>
        </is>
      </c>
      <c r="C6" s="5" t="inlineStr">
        <is>
          <t>Unidad</t>
        </is>
      </c>
      <c r="D6" s="5" t="inlineStr">
        <is>
          <t>Valor</t>
        </is>
      </c>
      <c r="K6" s="5" t="inlineStr">
        <is>
          <t>Símbolo</t>
        </is>
      </c>
      <c r="L6" s="5" t="inlineStr">
        <is>
          <t>Fórmula (texto)</t>
        </is>
      </c>
    </row>
    <row r="7">
      <c r="A7" s="17" t="n">
        <v>1</v>
      </c>
      <c r="B7" s="8" t="inlineStr">
        <is>
          <t>Módulo elástico</t>
        </is>
      </c>
      <c r="C7" s="17" t="inlineStr">
        <is>
          <t>MPa</t>
        </is>
      </c>
      <c r="D7" s="23" t="n">
        <v>200000</v>
      </c>
      <c r="K7" s="17" t="inlineStr">
        <is>
          <t>E</t>
        </is>
      </c>
      <c r="L7" s="24" t="inlineStr">
        <is>
          <t>dato ingresado</t>
        </is>
      </c>
    </row>
    <row r="8">
      <c r="A8" s="17" t="n">
        <v>2</v>
      </c>
      <c r="B8" s="8" t="inlineStr">
        <is>
          <t>Luz</t>
        </is>
      </c>
      <c r="C8" s="17" t="inlineStr">
        <is>
          <t>mm</t>
        </is>
      </c>
      <c r="D8" s="23" t="n">
        <v>6000</v>
      </c>
      <c r="K8" s="17" t="inlineStr">
        <is>
          <t>L</t>
        </is>
      </c>
      <c r="L8" s="24" t="inlineStr">
        <is>
          <t>dato ingresado</t>
        </is>
      </c>
    </row>
    <row r="9">
      <c r="A9" s="17" t="n">
        <v>3</v>
      </c>
      <c r="B9" s="8" t="inlineStr">
        <is>
          <t>Masa del IPE 200</t>
        </is>
      </c>
      <c r="C9" s="17" t="inlineStr">
        <is>
          <t>kg/m</t>
        </is>
      </c>
      <c r="D9" s="25" t="n">
        <v>22.4</v>
      </c>
      <c r="K9" s="17" t="inlineStr">
        <is>
          <t>kg</t>
        </is>
      </c>
      <c r="L9" s="24" t="inlineStr">
        <is>
          <t>dato ingresado</t>
        </is>
      </c>
    </row>
    <row r="10">
      <c r="A10" s="17" t="n">
        <v>4</v>
      </c>
      <c r="B10" s="8" t="inlineStr">
        <is>
          <t>Gravedad</t>
        </is>
      </c>
      <c r="C10" s="17" t="inlineStr">
        <is>
          <t>m/s²</t>
        </is>
      </c>
      <c r="D10" s="25" t="n">
        <v>9.806649999999999</v>
      </c>
      <c r="K10" s="17" t="inlineStr">
        <is>
          <t>g</t>
        </is>
      </c>
      <c r="L10" s="24" t="inlineStr">
        <is>
          <t>dato ingresado</t>
        </is>
      </c>
    </row>
    <row r="11">
      <c r="A11" s="17" t="n">
        <v>5</v>
      </c>
      <c r="B11" s="8" t="inlineStr">
        <is>
          <t>Ix IPE 200</t>
        </is>
      </c>
      <c r="C11" s="17" t="inlineStr">
        <is>
          <t>mm⁴</t>
        </is>
      </c>
      <c r="D11" s="35" t="n">
        <v>19430000</v>
      </c>
      <c r="K11" s="17" t="inlineStr">
        <is>
          <t>I</t>
        </is>
      </c>
      <c r="L11" s="24" t="inlineStr">
        <is>
          <t>dato ingresado</t>
        </is>
      </c>
    </row>
    <row r="12">
      <c r="A12" s="17" t="n">
        <v>6</v>
      </c>
      <c r="B12" s="8" t="inlineStr">
        <is>
          <t>Peso propio</t>
        </is>
      </c>
      <c r="C12" s="17" t="inlineStr">
        <is>
          <t>kN/m</t>
        </is>
      </c>
      <c r="D12" s="36">
        <f>$D$9*$D$10/1000</f>
        <v/>
      </c>
      <c r="K12" s="17" t="inlineStr">
        <is>
          <t>w</t>
        </is>
      </c>
      <c r="L12" s="24" t="inlineStr">
        <is>
          <t>valor = kg*g/1000</t>
        </is>
      </c>
    </row>
    <row r="14">
      <c r="A14" s="22" t="inlineStr">
        <is>
          <t>COMPARACIÓN: TEORÍA / DATO PUBLICADO  vs  PROGRAMA (Atlas Estructuras 3D)</t>
        </is>
      </c>
      <c r="B14" s="22" t="n"/>
      <c r="C14" s="22" t="n"/>
      <c r="D14" s="22" t="n"/>
      <c r="E14" s="22" t="n"/>
      <c r="F14" s="22" t="n"/>
      <c r="G14" s="22" t="n"/>
      <c r="H14" s="22" t="n"/>
      <c r="I14" s="22" t="n"/>
      <c r="J14" s="22" t="n"/>
      <c r="K14" s="22" t="n"/>
      <c r="L14" s="22" t="n"/>
      <c r="M14" s="22" t="n"/>
      <c r="N14" s="22" t="n"/>
    </row>
    <row r="15" ht="30" customHeight="1">
      <c r="A15" s="5" t="inlineStr">
        <is>
          <t>#</t>
        </is>
      </c>
      <c r="B15" s="5" t="inlineStr">
        <is>
          <t>Comprobación</t>
        </is>
      </c>
      <c r="C15" s="5" t="inlineStr">
        <is>
          <t>Unidad</t>
        </is>
      </c>
      <c r="D15" s="5" t="inlineStr">
        <is>
          <t>Teoría / publicado</t>
        </is>
      </c>
      <c r="E15" s="5" t="inlineStr">
        <is>
          <t>Programa</t>
        </is>
      </c>
      <c r="F15" s="5" t="inlineStr">
        <is>
          <t>Diferencia (prog. − teoría)</t>
        </is>
      </c>
      <c r="G15" s="5" t="inlineStr">
        <is>
          <t>Error relativo</t>
        </is>
      </c>
      <c r="H15" s="5" t="inlineStr">
        <is>
          <t>Tol. relativa</t>
        </is>
      </c>
      <c r="I15" s="5" t="inlineStr">
        <is>
          <t>Tol. absoluta</t>
        </is>
      </c>
      <c r="J15" s="5" t="inlineStr">
        <is>
          <t>Estado</t>
        </is>
      </c>
      <c r="K15" s="5" t="inlineStr">
        <is>
          <t>Origen</t>
        </is>
      </c>
      <c r="L15" s="5" t="inlineStr">
        <is>
          <t>Expresión de la teoría (texto)</t>
        </is>
      </c>
      <c r="M15" s="5" t="inlineStr">
        <is>
          <t>Dónde se lee en el programa</t>
        </is>
      </c>
      <c r="N15" s="5" t="inlineStr">
        <is>
          <t>Nota</t>
        </is>
      </c>
    </row>
    <row r="16" ht="16" customHeight="1">
      <c r="A16" s="17" t="n">
        <v>1</v>
      </c>
      <c r="B16" s="8" t="inlineStr">
        <is>
          <t>Reacción en el apoyo A</t>
        </is>
      </c>
      <c r="C16" s="17" t="inlineStr">
        <is>
          <t>kN</t>
        </is>
      </c>
      <c r="D16" s="36">
        <f>$D$12*$D$8/2/1000</f>
        <v/>
      </c>
      <c r="E16" s="37" t="n">
        <v>0.65900688</v>
      </c>
      <c r="F16" s="27">
        <f>E16-D16</f>
        <v/>
      </c>
      <c r="G16" s="28">
        <f>IF(ABS(D16)&gt;0.000000000001,F16/D16,"—")</f>
        <v/>
      </c>
      <c r="H16" s="29" t="n">
        <v>0.0001</v>
      </c>
      <c r="I16" s="30" t="n">
        <v>1e-06</v>
      </c>
      <c r="J16" s="31">
        <f>IF(ABS(F16)&lt;=MAX(H16*ABS(D16),I16),"OK","NO")</f>
        <v/>
      </c>
      <c r="K16" s="17" t="inlineStr">
        <is>
          <t>Fórmula</t>
        </is>
      </c>
      <c r="L16" s="9" t="inlineStr">
        <is>
          <t>w*L/2/1000</t>
        </is>
      </c>
      <c r="M16" s="9" t="inlineStr">
        <is>
          <t>Reacción Fz en el nudo 1 · combinación «C1: 1,0·D»</t>
        </is>
      </c>
      <c r="N16" s="9" t="inlineStr"/>
    </row>
    <row r="17" ht="28" customHeight="1">
      <c r="A17" s="17" t="n">
        <v>2</v>
      </c>
      <c r="B17" s="8" t="inlineStr">
        <is>
          <t>Flecha en el centro</t>
        </is>
      </c>
      <c r="C17" s="17" t="inlineStr">
        <is>
          <t>mm</t>
        </is>
      </c>
      <c r="D17" s="36">
        <f>-5*$D$12*$D$8^4/(384*$D$7*$D$11)</f>
        <v/>
      </c>
      <c r="E17" s="37" t="n">
        <v>-0.9539150019842002</v>
      </c>
      <c r="F17" s="27">
        <f>E17-D17</f>
        <v/>
      </c>
      <c r="G17" s="28">
        <f>IF(ABS(D17)&gt;0.000000000001,F17/D17,"—")</f>
        <v/>
      </c>
      <c r="H17" s="29" t="n">
        <v>0.0001</v>
      </c>
      <c r="I17" s="30" t="n">
        <v>1e-06</v>
      </c>
      <c r="J17" s="31">
        <f>IF(ABS(F17)&lt;=MAX(H17*ABS(D17),I17),"OK","NO")</f>
        <v/>
      </c>
      <c r="K17" s="17" t="inlineStr">
        <is>
          <t>Fórmula</t>
        </is>
      </c>
      <c r="L17" s="9" t="inlineStr">
        <is>
          <t>-5*w*L^4/(384*E*I)</t>
        </is>
      </c>
      <c r="M17" s="9" t="inlineStr">
        <is>
          <t>Barra 1, en x = 0.5·L, flecha vy (plano del alma) · combinación «C1: 1,0·D»</t>
        </is>
      </c>
      <c r="N17" s="9" t="inlineStr"/>
    </row>
    <row r="18" ht="28" customHeight="1">
      <c r="A18" s="17" t="n">
        <v>3</v>
      </c>
      <c r="B18" s="8" t="inlineStr">
        <is>
          <t>Momento en el centro</t>
        </is>
      </c>
      <c r="C18" s="17" t="inlineStr">
        <is>
          <t>kN·m</t>
        </is>
      </c>
      <c r="D18" s="36">
        <f>ABS($D$12*$D$8^2/8/1000000)</f>
        <v/>
      </c>
      <c r="E18" s="37" t="n">
        <v>0.9885103194912452</v>
      </c>
      <c r="F18" s="27">
        <f>E18-D18</f>
        <v/>
      </c>
      <c r="G18" s="28">
        <f>IF(ABS(D18)&gt;0.000000000001,F18/D18,"—")</f>
        <v/>
      </c>
      <c r="H18" s="29" t="n">
        <v>0.0001</v>
      </c>
      <c r="I18" s="30" t="n">
        <v>1e-06</v>
      </c>
      <c r="J18" s="31">
        <f>IF(ABS(F18)&lt;=MAX(H18*ABS(D18),I18),"OK","NO")</f>
        <v/>
      </c>
      <c r="K18" s="17" t="inlineStr">
        <is>
          <t>Fórmula</t>
        </is>
      </c>
      <c r="L18" s="9" t="inlineStr">
        <is>
          <t>w*L^2/8/1000000</t>
        </is>
      </c>
      <c r="M18" s="9" t="inlineStr">
        <is>
          <t>Barra 1, en x = 0.5·L, momento flector Mz (eje fuerte) · combinación «C1: 1,0·D»</t>
        </is>
      </c>
      <c r="N18" s="9" t="inlineStr">
        <is>
          <t>Se comparan valores absolutos (la convención de signo es independiente del resultado).</t>
        </is>
      </c>
    </row>
    <row r="19" ht="16" customHeight="1">
      <c r="A19" s="17" t="n">
        <v>4</v>
      </c>
      <c r="B19" s="8" t="inlineStr">
        <is>
          <t>Peso total de la barra</t>
        </is>
      </c>
      <c r="C19" s="17" t="inlineStr">
        <is>
          <t>kg</t>
        </is>
      </c>
      <c r="D19" s="26">
        <f>$D$9*$D$8/1000</f>
        <v/>
      </c>
      <c r="E19" s="25" t="n">
        <v>134.4</v>
      </c>
      <c r="F19" s="27">
        <f>E19-D19</f>
        <v/>
      </c>
      <c r="G19" s="28">
        <f>IF(ABS(D19)&gt;0.000000000001,F19/D19,"—")</f>
        <v/>
      </c>
      <c r="H19" s="29" t="n">
        <v>0.0001</v>
      </c>
      <c r="I19" s="30" t="n">
        <v>1e-06</v>
      </c>
      <c r="J19" s="31">
        <f>IF(ABS(F19)&lt;=MAX(H19*ABS(D19),I19),"OK","NO")</f>
        <v/>
      </c>
      <c r="K19" s="17" t="inlineStr">
        <is>
          <t>Fórmula</t>
        </is>
      </c>
      <c r="L19" s="9" t="inlineStr">
        <is>
          <t>kg*L/1000</t>
        </is>
      </c>
      <c r="M19" s="9" t="inlineStr">
        <is>
          <t>Peso total de los perfiles del modelo</t>
        </is>
      </c>
      <c r="N19" s="9" t="inlineStr"/>
    </row>
    <row r="21">
      <c r="B21" s="4" t="inlineStr">
        <is>
          <t>Comprobaciones dentro de tolerancia</t>
        </is>
      </c>
      <c r="D21" s="4">
        <f>COUNTIF(J16:J19,"OK")</f>
        <v/>
      </c>
      <c r="E21" s="4">
        <f>ROWS(J16:J19)</f>
        <v/>
      </c>
      <c r="F21" s="4">
        <f>IF(D21=E21,"VERIFICA","DIFIERE")</f>
        <v/>
      </c>
    </row>
    <row r="22">
      <c r="B22" s="2" t="inlineStr">
        <is>
          <t>Azul = dato ingresado o valor que entregó el programa (pegado); negro = fórmula de Excel. El valor «Programa» es el resultado del motor de cálculo de la app para el mismo modelo.</t>
        </is>
      </c>
    </row>
  </sheetData>
  <mergeCells count="1">
    <mergeCell ref="A3:L3"/>
  </mergeCells>
  <conditionalFormatting sqref="J16:J19">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30.xml><?xml version="1.0" encoding="utf-8"?>
<worksheet xmlns="http://schemas.openxmlformats.org/spreadsheetml/2006/main">
  <sheetPr>
    <outlinePr summaryBelow="1" summaryRight="1"/>
    <pageSetUpPr fitToPage="1"/>
  </sheetPr>
  <dimension ref="A1:N41"/>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N01 · Carga y momento puntuales dentro del tramo (viga biapoyada, plano fuerte y débil)</t>
        </is>
      </c>
    </row>
    <row r="2">
      <c r="A2" s="2" t="inlineStr">
        <is>
          <t>Solución clásica.  Fuente: Soluciones clásicas: Timoshenko «Resistencia de materiales» y «Theory of Elastic Stability» (Timoshenko &amp; Gere), Roark «Formulas for Stress and Strain», método de pendiente-deflexión, Ghali &amp; Neville «Structural Analysis» (efectos térmicos y asentamientos)</t>
        </is>
      </c>
    </row>
    <row r="3" ht="54" customHeight="1">
      <c r="A3" s="14" t="inlineStr">
        <is>
          <t>Enunciado. Cuatro vigas IPE 200 biapoyadas de 4,80 m con una acción puntual a 1,20 m del apoyo A, aplicada como carga de barra (no en un nudo): (1) carga vertical de 30 kN (flexión en el plano fuerte); (2) la misma carga en dirección horizontal (flexión en el plano débil, con Iy); (3) momento puntual de 20 kN·m alrededor del eje horizontal (plano fuerte); (4) momento puntual de 20 kN·m alrededor del eje vertical (plano débil). El programa divide el tramo internamente en la abscisa de la acción y obtiene el estado exacto de la solución de Euler-Bernoulli; se comparan reacciones, cortes, momentos y flechas.</t>
        </is>
      </c>
    </row>
    <row r="4" ht="28" customHeight="1">
      <c r="A4" s="14" t="inlineStr">
        <is>
          <t>Perfil. IPE 200 (tabla): Ix = 1 943 cm⁴, Iy = 142 cm⁴.</t>
        </is>
      </c>
    </row>
    <row r="6">
      <c r="A6" s="22" t="inlineStr">
        <is>
          <t>DATOS DEL EJERCICIO</t>
        </is>
      </c>
      <c r="B6" s="22" t="n"/>
      <c r="C6" s="22" t="n"/>
      <c r="D6" s="22" t="n"/>
      <c r="E6" s="22" t="n"/>
      <c r="F6" s="22" t="n"/>
      <c r="G6" s="22" t="n"/>
      <c r="H6" s="22" t="n"/>
      <c r="I6" s="22" t="n"/>
      <c r="J6" s="22" t="n"/>
      <c r="K6" s="22" t="n"/>
      <c r="L6" s="22" t="n"/>
      <c r="M6" s="22" t="n"/>
      <c r="N6" s="22" t="n"/>
    </row>
    <row r="7">
      <c r="A7" s="5" t="inlineStr">
        <is>
          <t>#</t>
        </is>
      </c>
      <c r="B7" s="5" t="inlineStr">
        <is>
          <t>Dato</t>
        </is>
      </c>
      <c r="C7" s="5" t="inlineStr">
        <is>
          <t>Unidad</t>
        </is>
      </c>
      <c r="D7" s="5" t="inlineStr">
        <is>
          <t>Valor</t>
        </is>
      </c>
      <c r="K7" s="5" t="inlineStr">
        <is>
          <t>Símbolo</t>
        </is>
      </c>
      <c r="L7" s="5" t="inlineStr">
        <is>
          <t>Fórmula (texto)</t>
        </is>
      </c>
    </row>
    <row r="8">
      <c r="A8" s="17" t="n">
        <v>1</v>
      </c>
      <c r="B8" s="8" t="inlineStr">
        <is>
          <t>Módulo elástico</t>
        </is>
      </c>
      <c r="C8" s="17" t="inlineStr">
        <is>
          <t>MPa</t>
        </is>
      </c>
      <c r="D8" s="23" t="n">
        <v>200000</v>
      </c>
      <c r="K8" s="17" t="inlineStr">
        <is>
          <t>E</t>
        </is>
      </c>
      <c r="L8" s="24" t="inlineStr">
        <is>
          <t>dato ingresado</t>
        </is>
      </c>
    </row>
    <row r="9">
      <c r="A9" s="17" t="n">
        <v>2</v>
      </c>
      <c r="B9" s="8" t="inlineStr">
        <is>
          <t>Luz</t>
        </is>
      </c>
      <c r="C9" s="17" t="inlineStr">
        <is>
          <t>mm</t>
        </is>
      </c>
      <c r="D9" s="23" t="n">
        <v>4800</v>
      </c>
      <c r="K9" s="17" t="inlineStr">
        <is>
          <t>L</t>
        </is>
      </c>
      <c r="L9" s="24" t="inlineStr">
        <is>
          <t>dato ingresado</t>
        </is>
      </c>
    </row>
    <row r="10">
      <c r="A10" s="17" t="n">
        <v>3</v>
      </c>
      <c r="B10" s="8" t="inlineStr">
        <is>
          <t>Distancia de la acción al apoyo A</t>
        </is>
      </c>
      <c r="C10" s="17" t="inlineStr">
        <is>
          <t>mm</t>
        </is>
      </c>
      <c r="D10" s="23" t="n">
        <v>1200</v>
      </c>
      <c r="K10" s="17" t="inlineStr">
        <is>
          <t>a</t>
        </is>
      </c>
      <c r="L10" s="24" t="inlineStr">
        <is>
          <t>dato ingresado</t>
        </is>
      </c>
    </row>
    <row r="11">
      <c r="A11" s="17" t="n">
        <v>4</v>
      </c>
      <c r="B11" s="8" t="inlineStr">
        <is>
          <t>Distancia de la acción al apoyo B</t>
        </is>
      </c>
      <c r="C11" s="17" t="inlineStr">
        <is>
          <t>mm</t>
        </is>
      </c>
      <c r="D11" s="38">
        <f>$D$9-$D$10</f>
        <v/>
      </c>
      <c r="K11" s="17" t="inlineStr">
        <is>
          <t>b</t>
        </is>
      </c>
      <c r="L11" s="24" t="inlineStr">
        <is>
          <t>valor = L-a</t>
        </is>
      </c>
    </row>
    <row r="12">
      <c r="A12" s="17" t="n">
        <v>5</v>
      </c>
      <c r="B12" s="8" t="inlineStr">
        <is>
          <t>Carga puntual</t>
        </is>
      </c>
      <c r="C12" s="17" t="inlineStr">
        <is>
          <t>kN</t>
        </is>
      </c>
      <c r="D12" s="25" t="n">
        <v>30</v>
      </c>
      <c r="K12" s="17" t="inlineStr">
        <is>
          <t>P</t>
        </is>
      </c>
      <c r="L12" s="24" t="inlineStr">
        <is>
          <t>dato ingresado</t>
        </is>
      </c>
    </row>
    <row r="13">
      <c r="A13" s="17" t="n">
        <v>6</v>
      </c>
      <c r="B13" s="8" t="inlineStr">
        <is>
          <t>Momento puntual</t>
        </is>
      </c>
      <c r="C13" s="17" t="inlineStr">
        <is>
          <t>kN·m</t>
        </is>
      </c>
      <c r="D13" s="25" t="n">
        <v>20</v>
      </c>
      <c r="K13" s="17" t="inlineStr">
        <is>
          <t>M0</t>
        </is>
      </c>
      <c r="L13" s="24" t="inlineStr">
        <is>
          <t>dato ingresado</t>
        </is>
      </c>
    </row>
    <row r="14">
      <c r="A14" s="17" t="n">
        <v>7</v>
      </c>
      <c r="B14" s="8" t="inlineStr">
        <is>
          <t>Ix IPE 200</t>
        </is>
      </c>
      <c r="C14" s="17" t="inlineStr">
        <is>
          <t>mm⁴</t>
        </is>
      </c>
      <c r="D14" s="35" t="n">
        <v>19430000</v>
      </c>
      <c r="K14" s="17" t="inlineStr">
        <is>
          <t>I</t>
        </is>
      </c>
      <c r="L14" s="24" t="inlineStr">
        <is>
          <t>dato ingresado</t>
        </is>
      </c>
    </row>
    <row r="15">
      <c r="A15" s="17" t="n">
        <v>8</v>
      </c>
      <c r="B15" s="8" t="inlineStr">
        <is>
          <t>Iy IPE 200</t>
        </is>
      </c>
      <c r="C15" s="17" t="inlineStr">
        <is>
          <t>mm⁴</t>
        </is>
      </c>
      <c r="D15" s="23" t="n">
        <v>1420000</v>
      </c>
      <c r="K15" s="17" t="inlineStr">
        <is>
          <t>Iy</t>
        </is>
      </c>
      <c r="L15" s="24" t="inlineStr">
        <is>
          <t>dato ingresado</t>
        </is>
      </c>
    </row>
    <row r="17">
      <c r="A17" s="22" t="inlineStr">
        <is>
          <t>COMPARACIÓN: TEORÍA / DATO PUBLICADO  vs  PROGRAMA (Atlas Estructuras 3D)</t>
        </is>
      </c>
      <c r="B17" s="22" t="n"/>
      <c r="C17" s="22" t="n"/>
      <c r="D17" s="22" t="n"/>
      <c r="E17" s="22" t="n"/>
      <c r="F17" s="22" t="n"/>
      <c r="G17" s="22" t="n"/>
      <c r="H17" s="22" t="n"/>
      <c r="I17" s="22" t="n"/>
      <c r="J17" s="22" t="n"/>
      <c r="K17" s="22" t="n"/>
      <c r="L17" s="22" t="n"/>
      <c r="M17" s="22" t="n"/>
      <c r="N17" s="22" t="n"/>
    </row>
    <row r="18" ht="30" customHeight="1">
      <c r="A18" s="5" t="inlineStr">
        <is>
          <t>#</t>
        </is>
      </c>
      <c r="B18" s="5" t="inlineStr">
        <is>
          <t>Comprobación</t>
        </is>
      </c>
      <c r="C18" s="5" t="inlineStr">
        <is>
          <t>Unidad</t>
        </is>
      </c>
      <c r="D18" s="5" t="inlineStr">
        <is>
          <t>Teoría / publicado</t>
        </is>
      </c>
      <c r="E18" s="5" t="inlineStr">
        <is>
          <t>Programa</t>
        </is>
      </c>
      <c r="F18" s="5" t="inlineStr">
        <is>
          <t>Diferencia (prog. − teoría)</t>
        </is>
      </c>
      <c r="G18" s="5" t="inlineStr">
        <is>
          <t>Error relativo</t>
        </is>
      </c>
      <c r="H18" s="5" t="inlineStr">
        <is>
          <t>Tol. relativa</t>
        </is>
      </c>
      <c r="I18" s="5" t="inlineStr">
        <is>
          <t>Tol. absoluta</t>
        </is>
      </c>
      <c r="J18" s="5" t="inlineStr">
        <is>
          <t>Estado</t>
        </is>
      </c>
      <c r="K18" s="5" t="inlineStr">
        <is>
          <t>Origen</t>
        </is>
      </c>
      <c r="L18" s="5" t="inlineStr">
        <is>
          <t>Expresión de la teoría (texto)</t>
        </is>
      </c>
      <c r="M18" s="5" t="inlineStr">
        <is>
          <t>Dónde se lee en el programa</t>
        </is>
      </c>
      <c r="N18" s="5" t="inlineStr">
        <is>
          <t>Nota</t>
        </is>
      </c>
    </row>
    <row r="19" ht="16" customHeight="1">
      <c r="A19" s="17" t="n">
        <v>1</v>
      </c>
      <c r="B19" s="8" t="inlineStr">
        <is>
          <t>(1) Reacción en A = P·b/L</t>
        </is>
      </c>
      <c r="C19" s="17" t="inlineStr">
        <is>
          <t>kN</t>
        </is>
      </c>
      <c r="D19" s="26">
        <f>$D$12*$D$11/$D$9</f>
        <v/>
      </c>
      <c r="E19" s="25" t="n">
        <v>22.500000000579</v>
      </c>
      <c r="F19" s="27">
        <f>E19-D19</f>
        <v/>
      </c>
      <c r="G19" s="28">
        <f>IF(ABS(D19)&gt;0.000000000001,F19/D19,"—")</f>
        <v/>
      </c>
      <c r="H19" s="29" t="n">
        <v>0.0001</v>
      </c>
      <c r="I19" s="30" t="n">
        <v>1e-06</v>
      </c>
      <c r="J19" s="31">
        <f>IF(ABS(F19)&lt;=MAX(H19*ABS(D19),I19),"OK","NO")</f>
        <v/>
      </c>
      <c r="K19" s="17" t="inlineStr">
        <is>
          <t>Fórmula</t>
        </is>
      </c>
      <c r="L19" s="9" t="inlineStr">
        <is>
          <t>P*b/L</t>
        </is>
      </c>
      <c r="M19" s="9" t="inlineStr">
        <is>
          <t>Reacción Fz en el nudo 1 · combinación «C1: 1,0·D»</t>
        </is>
      </c>
      <c r="N19" s="9" t="inlineStr"/>
    </row>
    <row r="20" ht="16" customHeight="1">
      <c r="A20" s="17" t="n">
        <v>2</v>
      </c>
      <c r="B20" s="8" t="inlineStr">
        <is>
          <t>(1) Reacción en B = P·a/L</t>
        </is>
      </c>
      <c r="C20" s="17" t="inlineStr">
        <is>
          <t>kN</t>
        </is>
      </c>
      <c r="D20" s="26">
        <f>$D$12*$D$10/$D$9</f>
        <v/>
      </c>
      <c r="E20" s="25" t="n">
        <v>7.499999999420996</v>
      </c>
      <c r="F20" s="27">
        <f>E20-D20</f>
        <v/>
      </c>
      <c r="G20" s="28">
        <f>IF(ABS(D20)&gt;0.000000000001,F20/D20,"—")</f>
        <v/>
      </c>
      <c r="H20" s="29" t="n">
        <v>0.0001</v>
      </c>
      <c r="I20" s="30" t="n">
        <v>1e-06</v>
      </c>
      <c r="J20" s="31">
        <f>IF(ABS(F20)&lt;=MAX(H20*ABS(D20),I20),"OK","NO")</f>
        <v/>
      </c>
      <c r="K20" s="17" t="inlineStr">
        <is>
          <t>Fórmula</t>
        </is>
      </c>
      <c r="L20" s="9" t="inlineStr">
        <is>
          <t>P*a/L</t>
        </is>
      </c>
      <c r="M20" s="9" t="inlineStr">
        <is>
          <t>Reacción Fz en el nudo 2 · combinación «C1: 1,0·D»</t>
        </is>
      </c>
      <c r="N20" s="9" t="inlineStr"/>
    </row>
    <row r="21" ht="28" customHeight="1">
      <c r="A21" s="17" t="n">
        <v>3</v>
      </c>
      <c r="B21" s="8" t="inlineStr">
        <is>
          <t>(1) Corte entre A y la carga</t>
        </is>
      </c>
      <c r="C21" s="17" t="inlineStr">
        <is>
          <t>kN</t>
        </is>
      </c>
      <c r="D21" s="26">
        <f>ABS($D$12*$D$11/$D$9)</f>
        <v/>
      </c>
      <c r="E21" s="25" t="n">
        <v>22.50000000057901</v>
      </c>
      <c r="F21" s="27">
        <f>E21-D21</f>
        <v/>
      </c>
      <c r="G21" s="28">
        <f>IF(ABS(D21)&gt;0.000000000001,F21/D21,"—")</f>
        <v/>
      </c>
      <c r="H21" s="29" t="n">
        <v>0.0001</v>
      </c>
      <c r="I21" s="30" t="n">
        <v>1e-06</v>
      </c>
      <c r="J21" s="31">
        <f>IF(ABS(F21)&lt;=MAX(H21*ABS(D21),I21),"OK","NO")</f>
        <v/>
      </c>
      <c r="K21" s="17" t="inlineStr">
        <is>
          <t>Fórmula</t>
        </is>
      </c>
      <c r="L21" s="9" t="inlineStr">
        <is>
          <t>P*b/L</t>
        </is>
      </c>
      <c r="M21" s="9" t="inlineStr">
        <is>
          <t>Barra 1, en x = 0.1·L, corte Vy (en el plano del alma) · combinación «C1: 1,0·D»</t>
        </is>
      </c>
      <c r="N21" s="9" t="inlineStr">
        <is>
          <t>Se comparan valores absolutos (la convención de signo es independiente del resultado).</t>
        </is>
      </c>
    </row>
    <row r="22" ht="28" customHeight="1">
      <c r="A22" s="17" t="n">
        <v>4</v>
      </c>
      <c r="B22" s="8" t="inlineStr">
        <is>
          <t>(1) Corte entre la carga y B</t>
        </is>
      </c>
      <c r="C22" s="17" t="inlineStr">
        <is>
          <t>kN</t>
        </is>
      </c>
      <c r="D22" s="26">
        <f>ABS($D$12*$D$10/$D$9)</f>
        <v/>
      </c>
      <c r="E22" s="25" t="n">
        <v>7.499999999420987</v>
      </c>
      <c r="F22" s="27">
        <f>E22-D22</f>
        <v/>
      </c>
      <c r="G22" s="28">
        <f>IF(ABS(D22)&gt;0.000000000001,F22/D22,"—")</f>
        <v/>
      </c>
      <c r="H22" s="29" t="n">
        <v>0.0001</v>
      </c>
      <c r="I22" s="30" t="n">
        <v>1e-06</v>
      </c>
      <c r="J22" s="31">
        <f>IF(ABS(F22)&lt;=MAX(H22*ABS(D22),I22),"OK","NO")</f>
        <v/>
      </c>
      <c r="K22" s="17" t="inlineStr">
        <is>
          <t>Fórmula</t>
        </is>
      </c>
      <c r="L22" s="9" t="inlineStr">
        <is>
          <t>P*a/L</t>
        </is>
      </c>
      <c r="M22" s="9" t="inlineStr">
        <is>
          <t>Barra 1, en x = 0.9·L, corte Vy (en el plano del alma) · combinación «C1: 1,0·D»</t>
        </is>
      </c>
      <c r="N22" s="9" t="inlineStr">
        <is>
          <t>Se comparan valores absolutos (la convención de signo es independiente del resultado).</t>
        </is>
      </c>
    </row>
    <row r="23" ht="28" customHeight="1">
      <c r="A23" s="17" t="n">
        <v>5</v>
      </c>
      <c r="B23" s="8" t="inlineStr">
        <is>
          <t>(1) Momento bajo la carga = P·a·b/L</t>
        </is>
      </c>
      <c r="C23" s="17" t="inlineStr">
        <is>
          <t>kN·m</t>
        </is>
      </c>
      <c r="D23" s="26">
        <f>ABS($D$12*$D$10*$D$11/$D$9/1000)</f>
        <v/>
      </c>
      <c r="E23" s="25" t="n">
        <v>26.99999999096757</v>
      </c>
      <c r="F23" s="27">
        <f>E23-D23</f>
        <v/>
      </c>
      <c r="G23" s="28">
        <f>IF(ABS(D23)&gt;0.000000000001,F23/D23,"—")</f>
        <v/>
      </c>
      <c r="H23" s="29" t="n">
        <v>0.0001</v>
      </c>
      <c r="I23" s="30" t="n">
        <v>1e-06</v>
      </c>
      <c r="J23" s="31">
        <f>IF(ABS(F23)&lt;=MAX(H23*ABS(D23),I23),"OK","NO")</f>
        <v/>
      </c>
      <c r="K23" s="17" t="inlineStr">
        <is>
          <t>Fórmula</t>
        </is>
      </c>
      <c r="L23" s="9" t="inlineStr">
        <is>
          <t>P*a*b/L/1000</t>
        </is>
      </c>
      <c r="M23" s="9" t="inlineStr">
        <is>
          <t>Barra 1, en x = 0.25·L, momento flector Mz (eje fuerte) · combinación «C1: 1,0·D»</t>
        </is>
      </c>
      <c r="N23" s="9" t="inlineStr">
        <is>
          <t>Se comparan valores absolutos (la convención de signo es independiente del resultado).</t>
        </is>
      </c>
    </row>
    <row r="24" ht="28" customHeight="1">
      <c r="A24" s="17" t="n">
        <v>6</v>
      </c>
      <c r="B24" s="8" t="inlineStr">
        <is>
          <t>(1) Flecha bajo la carga = P·a²·b²/(3·E·I·L)</t>
        </is>
      </c>
      <c r="C24" s="17" t="inlineStr">
        <is>
          <t>mm</t>
        </is>
      </c>
      <c r="D24" s="26">
        <f>-$D$12*1000*$D$10^2*$D$11^2/(3*$D$8*$D$14*$D$9)</f>
        <v/>
      </c>
      <c r="E24" s="25" t="n">
        <v>-10.00514667562802</v>
      </c>
      <c r="F24" s="27">
        <f>E24-D24</f>
        <v/>
      </c>
      <c r="G24" s="28">
        <f>IF(ABS(D24)&gt;0.000000000001,F24/D24,"—")</f>
        <v/>
      </c>
      <c r="H24" s="29" t="n">
        <v>0.0001</v>
      </c>
      <c r="I24" s="30" t="n">
        <v>1e-06</v>
      </c>
      <c r="J24" s="31">
        <f>IF(ABS(F24)&lt;=MAX(H24*ABS(D24),I24),"OK","NO")</f>
        <v/>
      </c>
      <c r="K24" s="17" t="inlineStr">
        <is>
          <t>Fórmula</t>
        </is>
      </c>
      <c r="L24" s="9" t="inlineStr">
        <is>
          <t>-P*1000*a^2*b^2/(3*E*I*L)</t>
        </is>
      </c>
      <c r="M24" s="9" t="inlineStr">
        <is>
          <t>Barra 1, en x = 0.25·L, flecha vy (plano del alma) · combinación «C1: 1,0·D»</t>
        </is>
      </c>
      <c r="N24" s="9" t="inlineStr"/>
    </row>
    <row r="25" ht="28" customHeight="1">
      <c r="A25" s="17" t="n">
        <v>7</v>
      </c>
      <c r="B25" s="8" t="inlineStr">
        <is>
          <t>(1) Flecha a media luz (tramo de la derecha)</t>
        </is>
      </c>
      <c r="C25" s="17" t="inlineStr">
        <is>
          <t>mm</t>
        </is>
      </c>
      <c r="D25" s="26">
        <f>-$D$12*1000*$D$10*($D$9-$D$9/2)*(2*$D$9*($D$9/2)-($D$9/2)^2-$D$10^2)/(6*$D$8*$D$14*$D$9)</f>
        <v/>
      </c>
      <c r="E25" s="25" t="n">
        <v>-12.22851260318776</v>
      </c>
      <c r="F25" s="27">
        <f>E25-D25</f>
        <v/>
      </c>
      <c r="G25" s="28">
        <f>IF(ABS(D25)&gt;0.000000000001,F25/D25,"—")</f>
        <v/>
      </c>
      <c r="H25" s="29" t="n">
        <v>0.0001</v>
      </c>
      <c r="I25" s="30" t="n">
        <v>1e-06</v>
      </c>
      <c r="J25" s="31">
        <f>IF(ABS(F25)&lt;=MAX(H25*ABS(D25),I25),"OK","NO")</f>
        <v/>
      </c>
      <c r="K25" s="17" t="inlineStr">
        <is>
          <t>Fórmula</t>
        </is>
      </c>
      <c r="L25" s="9" t="inlineStr">
        <is>
          <t>-P*1000*a*(L-L/2)*(2*L*(L/2)-(L/2)^2-a^2)/(6*E*I*L)</t>
        </is>
      </c>
      <c r="M25" s="9" t="inlineStr">
        <is>
          <t>Barra 1, en x = 0.5·L, flecha vy (plano del alma) · combinación «C1: 1,0·D»</t>
        </is>
      </c>
      <c r="N25" s="9" t="inlineStr"/>
    </row>
    <row r="26" ht="16" customHeight="1">
      <c r="A26" s="17" t="n">
        <v>8</v>
      </c>
      <c r="B26" s="8" t="inlineStr">
        <is>
          <t>(1) Giro en A = P·b·(L²−b²)/(6·E·I·L)</t>
        </is>
      </c>
      <c r="C26" s="17" t="inlineStr">
        <is>
          <t>rad</t>
        </is>
      </c>
      <c r="D26" s="33">
        <f>ABS($D$12*1000*$D$11*($D$9^2-$D$11^2)/(6*$D$8*$D$14*$D$9))</f>
        <v/>
      </c>
      <c r="E26" s="34" t="n">
        <v>0.009727225933833766</v>
      </c>
      <c r="F26" s="27">
        <f>E26-D26</f>
        <v/>
      </c>
      <c r="G26" s="28">
        <f>IF(ABS(D26)&gt;0.000000000001,F26/D26,"—")</f>
        <v/>
      </c>
      <c r="H26" s="29" t="n">
        <v>0.0001</v>
      </c>
      <c r="I26" s="30" t="n">
        <v>1e-06</v>
      </c>
      <c r="J26" s="31">
        <f>IF(ABS(F26)&lt;=MAX(H26*ABS(D26),I26),"OK","NO")</f>
        <v/>
      </c>
      <c r="K26" s="17" t="inlineStr">
        <is>
          <t>Fórmula</t>
        </is>
      </c>
      <c r="L26" s="9" t="inlineStr">
        <is>
          <t>P*1000*b*(L^2-b^2)/(6*E*I*L)</t>
        </is>
      </c>
      <c r="M26" s="9" t="inlineStr">
        <is>
          <t>Desplazamiento Ry del nudo 1 · combinación «C1: 1,0·D»</t>
        </is>
      </c>
      <c r="N26" s="9" t="inlineStr">
        <is>
          <t>Se comparan valores absolutos (la convención de signo es independiente del resultado).</t>
        </is>
      </c>
    </row>
    <row r="27" ht="16" customHeight="1">
      <c r="A27" s="17" t="n">
        <v>9</v>
      </c>
      <c r="B27" s="8" t="inlineStr">
        <is>
          <t>(1) Giro en B = P·a·(L²−a²)/(6·E·I·L)</t>
        </is>
      </c>
      <c r="C27" s="17" t="inlineStr">
        <is>
          <t>rad</t>
        </is>
      </c>
      <c r="D27" s="33">
        <f>ABS($D$12*1000*$D$10*($D$9^2-$D$10^2)/(6*$D$8*$D$14*$D$9))</f>
        <v/>
      </c>
      <c r="E27" s="34" t="n">
        <v>0.006948018523186153</v>
      </c>
      <c r="F27" s="27">
        <f>E27-D27</f>
        <v/>
      </c>
      <c r="G27" s="28">
        <f>IF(ABS(D27)&gt;0.000000000001,F27/D27,"—")</f>
        <v/>
      </c>
      <c r="H27" s="29" t="n">
        <v>0.0001</v>
      </c>
      <c r="I27" s="30" t="n">
        <v>1e-06</v>
      </c>
      <c r="J27" s="31">
        <f>IF(ABS(F27)&lt;=MAX(H27*ABS(D27),I27),"OK","NO")</f>
        <v/>
      </c>
      <c r="K27" s="17" t="inlineStr">
        <is>
          <t>Fórmula</t>
        </is>
      </c>
      <c r="L27" s="9" t="inlineStr">
        <is>
          <t>P*1000*a*(L^2-a^2)/(6*E*I*L)</t>
        </is>
      </c>
      <c r="M27" s="9" t="inlineStr">
        <is>
          <t>Desplazamiento Ry del nudo 2 · combinación «C1: 1,0·D»</t>
        </is>
      </c>
      <c r="N27" s="9" t="inlineStr">
        <is>
          <t>Se comparan valores absolutos (la convención de signo es independiente del resultado).</t>
        </is>
      </c>
    </row>
    <row r="28" ht="28" customHeight="1">
      <c r="A28" s="17" t="n">
        <v>10</v>
      </c>
      <c r="B28" s="8" t="inlineStr">
        <is>
          <t>(2) Reacción horizontal en A = −P·b/L (se opone a la carga en +Y)</t>
        </is>
      </c>
      <c r="C28" s="17" t="inlineStr">
        <is>
          <t>kN</t>
        </is>
      </c>
      <c r="D28" s="26">
        <f>-$D$12*$D$11/$D$9</f>
        <v/>
      </c>
      <c r="E28" s="25" t="n">
        <v>-22.50000000792253</v>
      </c>
      <c r="F28" s="27">
        <f>E28-D28</f>
        <v/>
      </c>
      <c r="G28" s="28">
        <f>IF(ABS(D28)&gt;0.000000000001,F28/D28,"—")</f>
        <v/>
      </c>
      <c r="H28" s="29" t="n">
        <v>0.0001</v>
      </c>
      <c r="I28" s="30" t="n">
        <v>1e-06</v>
      </c>
      <c r="J28" s="31">
        <f>IF(ABS(F28)&lt;=MAX(H28*ABS(D28),I28),"OK","NO")</f>
        <v/>
      </c>
      <c r="K28" s="17" t="inlineStr">
        <is>
          <t>Fórmula</t>
        </is>
      </c>
      <c r="L28" s="9" t="inlineStr">
        <is>
          <t>-P*b/L</t>
        </is>
      </c>
      <c r="M28" s="9" t="inlineStr">
        <is>
          <t>Reacción Fy en el nudo 3 · combinación «C1: 1,0·D»</t>
        </is>
      </c>
      <c r="N28" s="9" t="inlineStr"/>
    </row>
    <row r="29" ht="28" customHeight="1">
      <c r="A29" s="17" t="n">
        <v>11</v>
      </c>
      <c r="B29" s="8" t="inlineStr">
        <is>
          <t>(2) Momento débil bajo la carga = P·a·b/L</t>
        </is>
      </c>
      <c r="C29" s="17" t="inlineStr">
        <is>
          <t>kN·m</t>
        </is>
      </c>
      <c r="D29" s="26">
        <f>ABS($D$12*$D$10*$D$11/$D$9/1000)</f>
        <v/>
      </c>
      <c r="E29" s="25" t="n">
        <v>26.99999987640844</v>
      </c>
      <c r="F29" s="27">
        <f>E29-D29</f>
        <v/>
      </c>
      <c r="G29" s="28">
        <f>IF(ABS(D29)&gt;0.000000000001,F29/D29,"—")</f>
        <v/>
      </c>
      <c r="H29" s="29" t="n">
        <v>0.0001</v>
      </c>
      <c r="I29" s="30" t="n">
        <v>1e-06</v>
      </c>
      <c r="J29" s="31">
        <f>IF(ABS(F29)&lt;=MAX(H29*ABS(D29),I29),"OK","NO")</f>
        <v/>
      </c>
      <c r="K29" s="17" t="inlineStr">
        <is>
          <t>Fórmula</t>
        </is>
      </c>
      <c r="L29" s="9" t="inlineStr">
        <is>
          <t>P*a*b/L/1000</t>
        </is>
      </c>
      <c r="M29" s="9" t="inlineStr">
        <is>
          <t>Barra 2, en x = 0.25·L, momento flector My (eje débil) · combinación «C1: 1,0·D»</t>
        </is>
      </c>
      <c r="N29" s="9" t="inlineStr">
        <is>
          <t>Se comparan valores absolutos (la convención de signo es independiente del resultado).</t>
        </is>
      </c>
    </row>
    <row r="30" ht="28" customHeight="1">
      <c r="A30" s="17" t="n">
        <v>12</v>
      </c>
      <c r="B30" s="8" t="inlineStr">
        <is>
          <t>(2) Flecha horizontal bajo la carga = P·a²·b²/(3·E·Iy·L)</t>
        </is>
      </c>
      <c r="C30" s="17" t="inlineStr">
        <is>
          <t>mm</t>
        </is>
      </c>
      <c r="D30" s="26">
        <f>ABS($D$12*1000*$D$10^2*$D$11^2/(3*$D$8*$D$15*$D$9))</f>
        <v/>
      </c>
      <c r="E30" s="25" t="n">
        <v>136.9014075589168</v>
      </c>
      <c r="F30" s="27">
        <f>E30-D30</f>
        <v/>
      </c>
      <c r="G30" s="28">
        <f>IF(ABS(D30)&gt;0.000000000001,F30/D30,"—")</f>
        <v/>
      </c>
      <c r="H30" s="29" t="n">
        <v>0.0001</v>
      </c>
      <c r="I30" s="30" t="n">
        <v>1e-06</v>
      </c>
      <c r="J30" s="31">
        <f>IF(ABS(F30)&lt;=MAX(H30*ABS(D30),I30),"OK","NO")</f>
        <v/>
      </c>
      <c r="K30" s="17" t="inlineStr">
        <is>
          <t>Fórmula</t>
        </is>
      </c>
      <c r="L30" s="9" t="inlineStr">
        <is>
          <t>P*1000*a^2*b^2/(3*E*Iy*L)</t>
        </is>
      </c>
      <c r="M30" s="9" t="inlineStr">
        <is>
          <t>Barra 2, en x = 0.25·L, flecha vz · combinación «C1: 1,0·D»</t>
        </is>
      </c>
      <c r="N30" s="9" t="inlineStr">
        <is>
          <t>Se comparan valores absolutos (la convención de signo es independiente del resultado).</t>
        </is>
      </c>
    </row>
    <row r="31" ht="16" customHeight="1">
      <c r="A31" s="17" t="n">
        <v>13</v>
      </c>
      <c r="B31" s="8" t="inlineStr">
        <is>
          <t>(2) Flecha horizontal a media luz</t>
        </is>
      </c>
      <c r="C31" s="17" t="inlineStr">
        <is>
          <t>mm</t>
        </is>
      </c>
      <c r="D31" s="26">
        <f>ABS($D$12*1000*$D$10*($D$9-$D$9/2)*(2*$D$9*($D$9/2)-($D$9/2)^2-$D$10^2)/(6*$D$8*$D$15*$D$9))</f>
        <v/>
      </c>
      <c r="E31" s="25" t="n">
        <v>167.3239425050584</v>
      </c>
      <c r="F31" s="27">
        <f>E31-D31</f>
        <v/>
      </c>
      <c r="G31" s="28">
        <f>IF(ABS(D31)&gt;0.000000000001,F31/D31,"—")</f>
        <v/>
      </c>
      <c r="H31" s="29" t="n">
        <v>0.0001</v>
      </c>
      <c r="I31" s="30" t="n">
        <v>1e-06</v>
      </c>
      <c r="J31" s="31">
        <f>IF(ABS(F31)&lt;=MAX(H31*ABS(D31),I31),"OK","NO")</f>
        <v/>
      </c>
      <c r="K31" s="17" t="inlineStr">
        <is>
          <t>Fórmula</t>
        </is>
      </c>
      <c r="L31" s="9" t="inlineStr">
        <is>
          <t>P*1000*a*(L-L/2)*(2*L*(L/2)-(L/2)^2-a^2)/(6*E*Iy*L)</t>
        </is>
      </c>
      <c r="M31" s="9" t="inlineStr">
        <is>
          <t>Barra 2, en x = 0.5·L, flecha vz · combinación «C1: 1,0·D»</t>
        </is>
      </c>
      <c r="N31" s="9" t="inlineStr">
        <is>
          <t>Se comparan valores absolutos (la convención de signo es independiente del resultado).</t>
        </is>
      </c>
    </row>
    <row r="32" ht="28" customHeight="1">
      <c r="A32" s="17" t="n">
        <v>14</v>
      </c>
      <c r="B32" s="8" t="inlineStr">
        <is>
          <t>(3) Reacción vertical en A = −M0/L (momento +Y en el tramo)</t>
        </is>
      </c>
      <c r="C32" s="17" t="inlineStr">
        <is>
          <t>kN</t>
        </is>
      </c>
      <c r="D32" s="26">
        <f>-$D$13/($D$9/1000)</f>
        <v/>
      </c>
      <c r="E32" s="25" t="n">
        <v>-4.16666666677389</v>
      </c>
      <c r="F32" s="27">
        <f>E32-D32</f>
        <v/>
      </c>
      <c r="G32" s="28">
        <f>IF(ABS(D32)&gt;0.000000000001,F32/D32,"—")</f>
        <v/>
      </c>
      <c r="H32" s="29" t="n">
        <v>0.0001</v>
      </c>
      <c r="I32" s="30" t="n">
        <v>1e-06</v>
      </c>
      <c r="J32" s="31">
        <f>IF(ABS(F32)&lt;=MAX(H32*ABS(D32),I32),"OK","NO")</f>
        <v/>
      </c>
      <c r="K32" s="17" t="inlineStr">
        <is>
          <t>Fórmula</t>
        </is>
      </c>
      <c r="L32" s="9" t="inlineStr">
        <is>
          <t>-M0/(L/1000)</t>
        </is>
      </c>
      <c r="M32" s="9" t="inlineStr">
        <is>
          <t>Reacción Fz en el nudo 5 · combinación «C1: 1,0·D»</t>
        </is>
      </c>
      <c r="N32" s="9" t="inlineStr"/>
    </row>
    <row r="33" ht="28" customHeight="1">
      <c r="A33" s="17" t="n">
        <v>15</v>
      </c>
      <c r="B33" s="8" t="inlineStr">
        <is>
          <t>(3) Momento a la izquierda del punto = M0·a/L</t>
        </is>
      </c>
      <c r="C33" s="17" t="inlineStr">
        <is>
          <t>kN·m</t>
        </is>
      </c>
      <c r="D33" s="26">
        <f>ABS($D$13*(0.2*$D$9)/$D$9)</f>
        <v/>
      </c>
      <c r="E33" s="25" t="n">
        <v>4.000000002933607</v>
      </c>
      <c r="F33" s="27">
        <f>E33-D33</f>
        <v/>
      </c>
      <c r="G33" s="28">
        <f>IF(ABS(D33)&gt;0.000000000001,F33/D33,"—")</f>
        <v/>
      </c>
      <c r="H33" s="29" t="n">
        <v>0.0001</v>
      </c>
      <c r="I33" s="30" t="n">
        <v>1e-06</v>
      </c>
      <c r="J33" s="31">
        <f>IF(ABS(F33)&lt;=MAX(H33*ABS(D33),I33),"OK","NO")</f>
        <v/>
      </c>
      <c r="K33" s="17" t="inlineStr">
        <is>
          <t>Fórmula</t>
        </is>
      </c>
      <c r="L33" s="9" t="inlineStr">
        <is>
          <t>M0*(0.2*L)/L</t>
        </is>
      </c>
      <c r="M33" s="9" t="inlineStr">
        <is>
          <t>Barra 3, en x = 0.2·L, momento flector Mz (eje fuerte) · combinación «C1: 1,0·D»</t>
        </is>
      </c>
      <c r="N33" s="9" t="inlineStr">
        <is>
          <t>Se comparan valores absolutos (la convención de signo es independiente del resultado).</t>
        </is>
      </c>
    </row>
    <row r="34" ht="28" customHeight="1">
      <c r="A34" s="17" t="n">
        <v>16</v>
      </c>
      <c r="B34" s="8" t="inlineStr">
        <is>
          <t>(3) Momento a la derecha del punto = M0·b/L</t>
        </is>
      </c>
      <c r="C34" s="17" t="inlineStr">
        <is>
          <t>kN·m</t>
        </is>
      </c>
      <c r="D34" s="26">
        <f>ABS($D$13*($D$9-0.6*$D$9)/$D$9)</f>
        <v/>
      </c>
      <c r="E34" s="25" t="n">
        <v>7.999999996860526</v>
      </c>
      <c r="F34" s="27">
        <f>E34-D34</f>
        <v/>
      </c>
      <c r="G34" s="28">
        <f>IF(ABS(D34)&gt;0.000000000001,F34/D34,"—")</f>
        <v/>
      </c>
      <c r="H34" s="29" t="n">
        <v>0.0001</v>
      </c>
      <c r="I34" s="30" t="n">
        <v>1e-06</v>
      </c>
      <c r="J34" s="31">
        <f>IF(ABS(F34)&lt;=MAX(H34*ABS(D34),I34),"OK","NO")</f>
        <v/>
      </c>
      <c r="K34" s="17" t="inlineStr">
        <is>
          <t>Fórmula</t>
        </is>
      </c>
      <c r="L34" s="9" t="inlineStr">
        <is>
          <t>M0*(L-0.6*L)/L</t>
        </is>
      </c>
      <c r="M34" s="9" t="inlineStr">
        <is>
          <t>Barra 3, en x = 0.6·L, momento flector Mz (eje fuerte) · combinación «C1: 1,0·D»</t>
        </is>
      </c>
      <c r="N34" s="9" t="inlineStr">
        <is>
          <t>Se comparan valores absolutos (la convención de signo es independiente del resultado).</t>
        </is>
      </c>
    </row>
    <row r="35" ht="28" customHeight="1">
      <c r="A35" s="17" t="n">
        <v>17</v>
      </c>
      <c r="B35" s="8" t="inlineStr">
        <is>
          <t>(3) Flecha bajo el momento = M0·a·b·(b−a)/(3·E·I·L)</t>
        </is>
      </c>
      <c r="C35" s="17" t="inlineStr">
        <is>
          <t>mm</t>
        </is>
      </c>
      <c r="D35" s="26">
        <f>ABS($D$13*1000000*$D$10*$D$11*($D$11-$D$10)/(3*$D$8*$D$14*$D$9))</f>
        <v/>
      </c>
      <c r="E35" s="25" t="n">
        <v>3.705609879933745</v>
      </c>
      <c r="F35" s="27">
        <f>E35-D35</f>
        <v/>
      </c>
      <c r="G35" s="28">
        <f>IF(ABS(D35)&gt;0.000000000001,F35/D35,"—")</f>
        <v/>
      </c>
      <c r="H35" s="29" t="n">
        <v>0.0001</v>
      </c>
      <c r="I35" s="30" t="n">
        <v>1e-06</v>
      </c>
      <c r="J35" s="31">
        <f>IF(ABS(F35)&lt;=MAX(H35*ABS(D35),I35),"OK","NO")</f>
        <v/>
      </c>
      <c r="K35" s="17" t="inlineStr">
        <is>
          <t>Fórmula</t>
        </is>
      </c>
      <c r="L35" s="9" t="inlineStr">
        <is>
          <t>M0*1000000*a*b*(b-a)/(3*E*I*L)</t>
        </is>
      </c>
      <c r="M35" s="9" t="inlineStr">
        <is>
          <t>Barra 3, en x = 0.25·L, flecha vy (plano del alma) · combinación «C1: 1,0·D»</t>
        </is>
      </c>
      <c r="N35" s="9" t="inlineStr">
        <is>
          <t>Se comparan valores absolutos (la convención de signo es independiente del resultado).</t>
        </is>
      </c>
    </row>
    <row r="36" ht="28" customHeight="1">
      <c r="A36" s="17" t="n">
        <v>18</v>
      </c>
      <c r="B36" s="8" t="inlineStr">
        <is>
          <t>(4) Reacción horizontal en A = +M0/L (momento +Z en el tramo)</t>
        </is>
      </c>
      <c r="C36" s="17" t="inlineStr">
        <is>
          <t>kN</t>
        </is>
      </c>
      <c r="D36" s="26">
        <f>$D$13/($D$9/1000)</f>
        <v/>
      </c>
      <c r="E36" s="25" t="n">
        <v>4.166666668133803</v>
      </c>
      <c r="F36" s="27">
        <f>E36-D36</f>
        <v/>
      </c>
      <c r="G36" s="28">
        <f>IF(ABS(D36)&gt;0.000000000001,F36/D36,"—")</f>
        <v/>
      </c>
      <c r="H36" s="29" t="n">
        <v>0.0001</v>
      </c>
      <c r="I36" s="30" t="n">
        <v>1e-06</v>
      </c>
      <c r="J36" s="31">
        <f>IF(ABS(F36)&lt;=MAX(H36*ABS(D36),I36),"OK","NO")</f>
        <v/>
      </c>
      <c r="K36" s="17" t="inlineStr">
        <is>
          <t>Fórmula</t>
        </is>
      </c>
      <c r="L36" s="9" t="inlineStr">
        <is>
          <t>M0/(L/1000)</t>
        </is>
      </c>
      <c r="M36" s="9" t="inlineStr">
        <is>
          <t>Reacción Fy en el nudo 7 · combinación «C1: 1,0·D»</t>
        </is>
      </c>
      <c r="N36" s="9" t="inlineStr"/>
    </row>
    <row r="37" ht="28" customHeight="1">
      <c r="A37" s="17" t="n">
        <v>19</v>
      </c>
      <c r="B37" s="8" t="inlineStr">
        <is>
          <t>(4) Momento débil a la izquierda = M0·a/L</t>
        </is>
      </c>
      <c r="C37" s="17" t="inlineStr">
        <is>
          <t>kN·m</t>
        </is>
      </c>
      <c r="D37" s="26">
        <f>ABS($D$13*(0.2*$D$9)/$D$9)</f>
        <v/>
      </c>
      <c r="E37" s="25" t="n">
        <v>4.000000040140848</v>
      </c>
      <c r="F37" s="27">
        <f>E37-D37</f>
        <v/>
      </c>
      <c r="G37" s="28">
        <f>IF(ABS(D37)&gt;0.000000000001,F37/D37,"—")</f>
        <v/>
      </c>
      <c r="H37" s="29" t="n">
        <v>0.0001</v>
      </c>
      <c r="I37" s="30" t="n">
        <v>1e-06</v>
      </c>
      <c r="J37" s="31">
        <f>IF(ABS(F37)&lt;=MAX(H37*ABS(D37),I37),"OK","NO")</f>
        <v/>
      </c>
      <c r="K37" s="17" t="inlineStr">
        <is>
          <t>Fórmula</t>
        </is>
      </c>
      <c r="L37" s="9" t="inlineStr">
        <is>
          <t>M0*(0.2*L)/L</t>
        </is>
      </c>
      <c r="M37" s="9" t="inlineStr">
        <is>
          <t>Barra 4, en x = 0.2·L, momento flector My (eje débil) · combinación «C1: 1,0·D»</t>
        </is>
      </c>
      <c r="N37" s="9" t="inlineStr">
        <is>
          <t>Se comparan valores absolutos (la convención de signo es independiente del resultado).</t>
        </is>
      </c>
    </row>
    <row r="38" ht="28" customHeight="1">
      <c r="A38" s="17" t="n">
        <v>20</v>
      </c>
      <c r="B38" s="8" t="inlineStr">
        <is>
          <t>(4) Flecha horizontal bajo el momento = M0·a·b·(b−a)/(3·E·Iy·L)</t>
        </is>
      </c>
      <c r="C38" s="17" t="inlineStr">
        <is>
          <t>mm</t>
        </is>
      </c>
      <c r="D38" s="26">
        <f>ABS($D$13*1000000*$D$10*$D$11*($D$11-$D$10)/(3*$D$8*$D$15*$D$9))</f>
        <v/>
      </c>
      <c r="E38" s="25" t="n">
        <v>50.70422503521124</v>
      </c>
      <c r="F38" s="27">
        <f>E38-D38</f>
        <v/>
      </c>
      <c r="G38" s="28">
        <f>IF(ABS(D38)&gt;0.000000000001,F38/D38,"—")</f>
        <v/>
      </c>
      <c r="H38" s="29" t="n">
        <v>0.0001</v>
      </c>
      <c r="I38" s="30" t="n">
        <v>1e-06</v>
      </c>
      <c r="J38" s="31">
        <f>IF(ABS(F38)&lt;=MAX(H38*ABS(D38),I38),"OK","NO")</f>
        <v/>
      </c>
      <c r="K38" s="17" t="inlineStr">
        <is>
          <t>Fórmula</t>
        </is>
      </c>
      <c r="L38" s="9" t="inlineStr">
        <is>
          <t>M0*1000000*a*b*(b-a)/(3*E*Iy*L)</t>
        </is>
      </c>
      <c r="M38" s="9" t="inlineStr">
        <is>
          <t>Barra 4, en x = 0.25·L, flecha vz · combinación «C1: 1,0·D»</t>
        </is>
      </c>
      <c r="N38" s="9" t="inlineStr">
        <is>
          <t>Se comparan valores absolutos (la convención de signo es independiente del resultado).</t>
        </is>
      </c>
    </row>
    <row r="40">
      <c r="B40" s="4" t="inlineStr">
        <is>
          <t>Comprobaciones dentro de tolerancia</t>
        </is>
      </c>
      <c r="D40" s="4">
        <f>COUNTIF(J19:J38,"OK")</f>
        <v/>
      </c>
      <c r="E40" s="4">
        <f>ROWS(J19:J38)</f>
        <v/>
      </c>
      <c r="F40" s="4">
        <f>IF(D40=E40,"VERIFICA","DIFIERE")</f>
        <v/>
      </c>
    </row>
    <row r="41">
      <c r="B41" s="2" t="inlineStr">
        <is>
          <t>Azul = dato ingresado o valor que entregó el programa (pegado); negro = fórmula de Excel. El valor «Programa» es el resultado del motor de cálculo de la app para el mismo modelo.</t>
        </is>
      </c>
    </row>
  </sheetData>
  <mergeCells count="2">
    <mergeCell ref="A3:L3"/>
    <mergeCell ref="A4:L4"/>
  </mergeCells>
  <conditionalFormatting sqref="J19:J38">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31.xml><?xml version="1.0" encoding="utf-8"?>
<worksheet xmlns="http://schemas.openxmlformats.org/spreadsheetml/2006/main">
  <sheetPr>
    <outlinePr summaryBelow="1" summaryRight="1"/>
    <pageSetUpPr fitToPage="1"/>
  </sheetPr>
  <dimension ref="A1:N34"/>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N02 · Carga uniforme parcial (viga biapoyada)</t>
        </is>
      </c>
    </row>
    <row r="2">
      <c r="A2" s="2" t="inlineStr">
        <is>
          <t>Solución clásica.  Fuente: Soluciones clásicas: Timoshenko «Resistencia de materiales» y «Theory of Elastic Stability» (Timoshenko &amp; Gere), Roark «Formulas for Stress and Strain», método de pendiente-deflexión, Ghali &amp; Neville «Structural Analysis» (efectos térmicos y asentamientos)</t>
        </is>
      </c>
    </row>
    <row r="3" ht="40.5" customHeight="1">
      <c r="A3" s="14" t="inlineStr">
        <is>
          <t>Enunciado. Dos vigas IPE 200 biapoyadas de 6,00 m con una carga uniforme de 12 kN/m aplicada solo entre x = 0,50 m y x = 3,50 m (3,00 m de largo): la viga 1 con carga vertical (plano fuerte) y la viga 2 con la misma carga horizontal (plano débil, con Iy). Se comparan las reacciones, los cortes fuera de la zona cargada, el momento a media luz, el momento máximo (donde el corte se anula) y la flecha a media luz, obtenida integrando dos veces la ecuación del momento con funciones de singularidad.</t>
        </is>
      </c>
    </row>
    <row r="4" ht="28" customHeight="1">
      <c r="A4" s="14" t="inlineStr">
        <is>
          <t>Perfil. IPE 200 (tabla): Ix = 1 943 cm⁴.</t>
        </is>
      </c>
    </row>
    <row r="6">
      <c r="A6" s="22" t="inlineStr">
        <is>
          <t>DATOS DEL EJERCICIO</t>
        </is>
      </c>
      <c r="B6" s="22" t="n"/>
      <c r="C6" s="22" t="n"/>
      <c r="D6" s="22" t="n"/>
      <c r="E6" s="22" t="n"/>
      <c r="F6" s="22" t="n"/>
      <c r="G6" s="22" t="n"/>
      <c r="H6" s="22" t="n"/>
      <c r="I6" s="22" t="n"/>
      <c r="J6" s="22" t="n"/>
      <c r="K6" s="22" t="n"/>
      <c r="L6" s="22" t="n"/>
      <c r="M6" s="22" t="n"/>
      <c r="N6" s="22" t="n"/>
    </row>
    <row r="7">
      <c r="A7" s="5" t="inlineStr">
        <is>
          <t>#</t>
        </is>
      </c>
      <c r="B7" s="5" t="inlineStr">
        <is>
          <t>Dato</t>
        </is>
      </c>
      <c r="C7" s="5" t="inlineStr">
        <is>
          <t>Unidad</t>
        </is>
      </c>
      <c r="D7" s="5" t="inlineStr">
        <is>
          <t>Valor</t>
        </is>
      </c>
      <c r="K7" s="5" t="inlineStr">
        <is>
          <t>Símbolo</t>
        </is>
      </c>
      <c r="L7" s="5" t="inlineStr">
        <is>
          <t>Fórmula (texto)</t>
        </is>
      </c>
    </row>
    <row r="8">
      <c r="A8" s="17" t="n">
        <v>1</v>
      </c>
      <c r="B8" s="8" t="inlineStr">
        <is>
          <t>Módulo elástico</t>
        </is>
      </c>
      <c r="C8" s="17" t="inlineStr">
        <is>
          <t>MPa</t>
        </is>
      </c>
      <c r="D8" s="23" t="n">
        <v>200000</v>
      </c>
      <c r="K8" s="17" t="inlineStr">
        <is>
          <t>E</t>
        </is>
      </c>
      <c r="L8" s="24" t="inlineStr">
        <is>
          <t>dato ingresado</t>
        </is>
      </c>
    </row>
    <row r="9">
      <c r="A9" s="17" t="n">
        <v>2</v>
      </c>
      <c r="B9" s="8" t="inlineStr">
        <is>
          <t>Luz</t>
        </is>
      </c>
      <c r="C9" s="17" t="inlineStr">
        <is>
          <t>mm</t>
        </is>
      </c>
      <c r="D9" s="23" t="n">
        <v>6000</v>
      </c>
      <c r="K9" s="17" t="inlineStr">
        <is>
          <t>L</t>
        </is>
      </c>
      <c r="L9" s="24" t="inlineStr">
        <is>
          <t>dato ingresado</t>
        </is>
      </c>
    </row>
    <row r="10">
      <c r="A10" s="17" t="n">
        <v>3</v>
      </c>
      <c r="B10" s="8" t="inlineStr">
        <is>
          <t>Inicio de la carga</t>
        </is>
      </c>
      <c r="C10" s="17" t="inlineStr">
        <is>
          <t>mm</t>
        </is>
      </c>
      <c r="D10" s="25" t="n">
        <v>500</v>
      </c>
      <c r="K10" s="17" t="inlineStr">
        <is>
          <t>a</t>
        </is>
      </c>
      <c r="L10" s="24" t="inlineStr">
        <is>
          <t>dato ingresado</t>
        </is>
      </c>
    </row>
    <row r="11">
      <c r="A11" s="17" t="n">
        <v>4</v>
      </c>
      <c r="B11" s="8" t="inlineStr">
        <is>
          <t>Largo cargado</t>
        </is>
      </c>
      <c r="C11" s="17" t="inlineStr">
        <is>
          <t>mm</t>
        </is>
      </c>
      <c r="D11" s="23" t="n">
        <v>3000</v>
      </c>
      <c r="K11" s="17" t="inlineStr">
        <is>
          <t>c</t>
        </is>
      </c>
      <c r="L11" s="24" t="inlineStr">
        <is>
          <t>dato ingresado</t>
        </is>
      </c>
    </row>
    <row r="12">
      <c r="A12" s="17" t="n">
        <v>5</v>
      </c>
      <c r="B12" s="8" t="inlineStr">
        <is>
          <t>Carga uniforme</t>
        </is>
      </c>
      <c r="C12" s="17" t="inlineStr">
        <is>
          <t>kN/m</t>
        </is>
      </c>
      <c r="D12" s="25" t="n">
        <v>12</v>
      </c>
      <c r="K12" s="17" t="inlineStr">
        <is>
          <t>w</t>
        </is>
      </c>
      <c r="L12" s="24" t="inlineStr">
        <is>
          <t>dato ingresado</t>
        </is>
      </c>
    </row>
    <row r="13">
      <c r="A13" s="17" t="n">
        <v>6</v>
      </c>
      <c r="B13" s="8" t="inlineStr">
        <is>
          <t>Ix IPE 200</t>
        </is>
      </c>
      <c r="C13" s="17" t="inlineStr">
        <is>
          <t>mm⁴</t>
        </is>
      </c>
      <c r="D13" s="35" t="n">
        <v>19430000</v>
      </c>
      <c r="K13" s="17" t="inlineStr">
        <is>
          <t>I</t>
        </is>
      </c>
      <c r="L13" s="24" t="inlineStr">
        <is>
          <t>dato ingresado</t>
        </is>
      </c>
    </row>
    <row r="14">
      <c r="A14" s="17" t="n">
        <v>7</v>
      </c>
      <c r="B14" s="8" t="inlineStr">
        <is>
          <t>Iy IPE 200</t>
        </is>
      </c>
      <c r="C14" s="17" t="inlineStr">
        <is>
          <t>mm⁴</t>
        </is>
      </c>
      <c r="D14" s="23" t="n">
        <v>1420000</v>
      </c>
      <c r="K14" s="17" t="inlineStr">
        <is>
          <t>Iy</t>
        </is>
      </c>
      <c r="L14" s="24" t="inlineStr">
        <is>
          <t>dato ingresado</t>
        </is>
      </c>
    </row>
    <row r="15">
      <c r="A15" s="17" t="n">
        <v>8</v>
      </c>
      <c r="B15" s="8" t="inlineStr">
        <is>
          <t>Reacción en A</t>
        </is>
      </c>
      <c r="C15" s="17" t="inlineStr">
        <is>
          <t>N</t>
        </is>
      </c>
      <c r="D15" s="38">
        <f>$D$12*$D$11*($D$9-$D$10-$D$11/2)/$D$9</f>
        <v/>
      </c>
      <c r="K15" s="17" t="inlineStr">
        <is>
          <t>R1</t>
        </is>
      </c>
      <c r="L15" s="24" t="inlineStr">
        <is>
          <t>valor = w*c*(L-a-c/2)/L</t>
        </is>
      </c>
    </row>
    <row r="16">
      <c r="A16" s="17" t="n">
        <v>9</v>
      </c>
      <c r="B16" s="8" t="inlineStr">
        <is>
          <t>Reacción en B</t>
        </is>
      </c>
      <c r="C16" s="17" t="inlineStr">
        <is>
          <t>N</t>
        </is>
      </c>
      <c r="D16" s="38">
        <f>$D$12*$D$11-$D$15</f>
        <v/>
      </c>
      <c r="K16" s="17" t="inlineStr">
        <is>
          <t>R2</t>
        </is>
      </c>
      <c r="L16" s="24" t="inlineStr">
        <is>
          <t>valor = w*c-R1</t>
        </is>
      </c>
    </row>
    <row r="17">
      <c r="A17" s="17" t="n">
        <v>10</v>
      </c>
      <c r="B17" s="8" t="inlineStr">
        <is>
          <t>Abscisa del momento máximo (V = 0)</t>
        </is>
      </c>
      <c r="C17" s="17" t="inlineStr">
        <is>
          <t>mm</t>
        </is>
      </c>
      <c r="D17" s="38">
        <f>$D$10+$D$15/$D$12</f>
        <v/>
      </c>
      <c r="K17" s="17" t="inlineStr">
        <is>
          <t>x0</t>
        </is>
      </c>
      <c r="L17" s="24" t="inlineStr">
        <is>
          <t>valor = a+R1/w</t>
        </is>
      </c>
    </row>
    <row r="18">
      <c r="A18" s="17" t="n">
        <v>11</v>
      </c>
      <c r="B18" s="8" t="inlineStr">
        <is>
          <t>Constante de integración de la elástica (v(L) = 0)</t>
        </is>
      </c>
      <c r="C18" s="17" t="inlineStr">
        <is>
          <t>N·mm²</t>
        </is>
      </c>
      <c r="D18" s="27">
        <f>(-$D$15*$D$9^3/6+$D$12/24*($D$9-$D$10)^4-$D$12/24*MAX($D$9-$D$10-$D$11,0)^4)/$D$9</f>
        <v/>
      </c>
      <c r="K18" s="17" t="inlineStr">
        <is>
          <t>C1</t>
        </is>
      </c>
      <c r="L18" s="24" t="inlineStr">
        <is>
          <t>valor = (-R1*L^3/6+w/24*(L-a)^4-w/24*MAX(L-a-c,0)^4)/L</t>
        </is>
      </c>
    </row>
    <row r="20">
      <c r="A20" s="22" t="inlineStr">
        <is>
          <t>COMPARACIÓN: TEORÍA / DATO PUBLICADO  vs  PROGRAMA (Atlas Estructuras 3D)</t>
        </is>
      </c>
      <c r="B20" s="22" t="n"/>
      <c r="C20" s="22" t="n"/>
      <c r="D20" s="22" t="n"/>
      <c r="E20" s="22" t="n"/>
      <c r="F20" s="22" t="n"/>
      <c r="G20" s="22" t="n"/>
      <c r="H20" s="22" t="n"/>
      <c r="I20" s="22" t="n"/>
      <c r="J20" s="22" t="n"/>
      <c r="K20" s="22" t="n"/>
      <c r="L20" s="22" t="n"/>
      <c r="M20" s="22" t="n"/>
      <c r="N20" s="22" t="n"/>
    </row>
    <row r="21" ht="30" customHeight="1">
      <c r="A21" s="5" t="inlineStr">
        <is>
          <t>#</t>
        </is>
      </c>
      <c r="B21" s="5" t="inlineStr">
        <is>
          <t>Comprobación</t>
        </is>
      </c>
      <c r="C21" s="5" t="inlineStr">
        <is>
          <t>Unidad</t>
        </is>
      </c>
      <c r="D21" s="5" t="inlineStr">
        <is>
          <t>Teoría / publicado</t>
        </is>
      </c>
      <c r="E21" s="5" t="inlineStr">
        <is>
          <t>Programa</t>
        </is>
      </c>
      <c r="F21" s="5" t="inlineStr">
        <is>
          <t>Diferencia (prog. − teoría)</t>
        </is>
      </c>
      <c r="G21" s="5" t="inlineStr">
        <is>
          <t>Error relativo</t>
        </is>
      </c>
      <c r="H21" s="5" t="inlineStr">
        <is>
          <t>Tol. relativa</t>
        </is>
      </c>
      <c r="I21" s="5" t="inlineStr">
        <is>
          <t>Tol. absoluta</t>
        </is>
      </c>
      <c r="J21" s="5" t="inlineStr">
        <is>
          <t>Estado</t>
        </is>
      </c>
      <c r="K21" s="5" t="inlineStr">
        <is>
          <t>Origen</t>
        </is>
      </c>
      <c r="L21" s="5" t="inlineStr">
        <is>
          <t>Expresión de la teoría (texto)</t>
        </is>
      </c>
      <c r="M21" s="5" t="inlineStr">
        <is>
          <t>Dónde se lee en el programa</t>
        </is>
      </c>
      <c r="N21" s="5" t="inlineStr">
        <is>
          <t>Nota</t>
        </is>
      </c>
    </row>
    <row r="22" ht="16" customHeight="1">
      <c r="A22" s="17" t="n">
        <v>1</v>
      </c>
      <c r="B22" s="8" t="inlineStr">
        <is>
          <t>Reacción en A</t>
        </is>
      </c>
      <c r="C22" s="17" t="inlineStr">
        <is>
          <t>kN</t>
        </is>
      </c>
      <c r="D22" s="26">
        <f>$D$15/1000</f>
        <v/>
      </c>
      <c r="E22" s="25" t="n">
        <v>24.00000000049322</v>
      </c>
      <c r="F22" s="27">
        <f>E22-D22</f>
        <v/>
      </c>
      <c r="G22" s="28">
        <f>IF(ABS(D22)&gt;0.000000000001,F22/D22,"—")</f>
        <v/>
      </c>
      <c r="H22" s="29" t="n">
        <v>0.0001</v>
      </c>
      <c r="I22" s="30" t="n">
        <v>1e-06</v>
      </c>
      <c r="J22" s="31">
        <f>IF(ABS(F22)&lt;=MAX(H22*ABS(D22),I22),"OK","NO")</f>
        <v/>
      </c>
      <c r="K22" s="17" t="inlineStr">
        <is>
          <t>Fórmula</t>
        </is>
      </c>
      <c r="L22" s="9" t="inlineStr">
        <is>
          <t>R1/1000</t>
        </is>
      </c>
      <c r="M22" s="9" t="inlineStr">
        <is>
          <t>Reacción Fz en el nudo 1 · combinación «C1: 1,0·D»</t>
        </is>
      </c>
      <c r="N22" s="9" t="inlineStr"/>
    </row>
    <row r="23" ht="16" customHeight="1">
      <c r="A23" s="17" t="n">
        <v>2</v>
      </c>
      <c r="B23" s="8" t="inlineStr">
        <is>
          <t>Reacción en B</t>
        </is>
      </c>
      <c r="C23" s="17" t="inlineStr">
        <is>
          <t>kN</t>
        </is>
      </c>
      <c r="D23" s="26">
        <f>$D$16/1000</f>
        <v/>
      </c>
      <c r="E23" s="25" t="n">
        <v>11.99999999950678</v>
      </c>
      <c r="F23" s="27">
        <f>E23-D23</f>
        <v/>
      </c>
      <c r="G23" s="28">
        <f>IF(ABS(D23)&gt;0.000000000001,F23/D23,"—")</f>
        <v/>
      </c>
      <c r="H23" s="29" t="n">
        <v>0.0001</v>
      </c>
      <c r="I23" s="30" t="n">
        <v>1e-06</v>
      </c>
      <c r="J23" s="31">
        <f>IF(ABS(F23)&lt;=MAX(H23*ABS(D23),I23),"OK","NO")</f>
        <v/>
      </c>
      <c r="K23" s="17" t="inlineStr">
        <is>
          <t>Fórmula</t>
        </is>
      </c>
      <c r="L23" s="9" t="inlineStr">
        <is>
          <t>R2/1000</t>
        </is>
      </c>
      <c r="M23" s="9" t="inlineStr">
        <is>
          <t>Reacción Fz en el nudo 2 · combinación «C1: 1,0·D»</t>
        </is>
      </c>
      <c r="N23" s="9" t="inlineStr"/>
    </row>
    <row r="24" ht="28" customHeight="1">
      <c r="A24" s="17" t="n">
        <v>3</v>
      </c>
      <c r="B24" s="8" t="inlineStr">
        <is>
          <t>Corte antes de la zona cargada</t>
        </is>
      </c>
      <c r="C24" s="17" t="inlineStr">
        <is>
          <t>kN</t>
        </is>
      </c>
      <c r="D24" s="26">
        <f>ABS($D$15/1000)</f>
        <v/>
      </c>
      <c r="E24" s="25" t="n">
        <v>24.00000000049322</v>
      </c>
      <c r="F24" s="27">
        <f>E24-D24</f>
        <v/>
      </c>
      <c r="G24" s="28">
        <f>IF(ABS(D24)&gt;0.000000000001,F24/D24,"—")</f>
        <v/>
      </c>
      <c r="H24" s="29" t="n">
        <v>0.0001</v>
      </c>
      <c r="I24" s="30" t="n">
        <v>1e-06</v>
      </c>
      <c r="J24" s="31">
        <f>IF(ABS(F24)&lt;=MAX(H24*ABS(D24),I24),"OK","NO")</f>
        <v/>
      </c>
      <c r="K24" s="17" t="inlineStr">
        <is>
          <t>Fórmula</t>
        </is>
      </c>
      <c r="L24" s="9" t="inlineStr">
        <is>
          <t>R1/1000</t>
        </is>
      </c>
      <c r="M24" s="9" t="inlineStr">
        <is>
          <t>Barra 1, en x = 0.05·L, corte Vy (en el plano del alma) · combinación «C1: 1,0·D»</t>
        </is>
      </c>
      <c r="N24" s="9" t="inlineStr">
        <is>
          <t>Se comparan valores absolutos (la convención de signo es independiente del resultado).</t>
        </is>
      </c>
    </row>
    <row r="25" ht="28" customHeight="1">
      <c r="A25" s="17" t="n">
        <v>4</v>
      </c>
      <c r="B25" s="8" t="inlineStr">
        <is>
          <t>Corte después de la zona cargada</t>
        </is>
      </c>
      <c r="C25" s="17" t="inlineStr">
        <is>
          <t>kN</t>
        </is>
      </c>
      <c r="D25" s="26">
        <f>ABS($D$16/1000)</f>
        <v/>
      </c>
      <c r="E25" s="25" t="n">
        <v>11.99999999950678</v>
      </c>
      <c r="F25" s="27">
        <f>E25-D25</f>
        <v/>
      </c>
      <c r="G25" s="28">
        <f>IF(ABS(D25)&gt;0.000000000001,F25/D25,"—")</f>
        <v/>
      </c>
      <c r="H25" s="29" t="n">
        <v>0.0001</v>
      </c>
      <c r="I25" s="30" t="n">
        <v>1e-06</v>
      </c>
      <c r="J25" s="31">
        <f>IF(ABS(F25)&lt;=MAX(H25*ABS(D25),I25),"OK","NO")</f>
        <v/>
      </c>
      <c r="K25" s="17" t="inlineStr">
        <is>
          <t>Fórmula</t>
        </is>
      </c>
      <c r="L25" s="9" t="inlineStr">
        <is>
          <t>R2/1000</t>
        </is>
      </c>
      <c r="M25" s="9" t="inlineStr">
        <is>
          <t>Barra 1, en x = 0.9·L, corte Vy (en el plano del alma) · combinación «C1: 1,0·D»</t>
        </is>
      </c>
      <c r="N25" s="9" t="inlineStr">
        <is>
          <t>Se comparan valores absolutos (la convención de signo es independiente del resultado).</t>
        </is>
      </c>
    </row>
    <row r="26" ht="28" customHeight="1">
      <c r="A26" s="17" t="n">
        <v>5</v>
      </c>
      <c r="B26" s="8" t="inlineStr">
        <is>
          <t>Momento a media luz (dentro de la zona cargada)</t>
        </is>
      </c>
      <c r="C26" s="17" t="inlineStr">
        <is>
          <t>kN·m</t>
        </is>
      </c>
      <c r="D26" s="26">
        <f>ABS(($D$15*$D$9/2-$D$12*($D$9/2-$D$10)^2/2)/1000000)</f>
        <v/>
      </c>
      <c r="E26" s="25" t="n">
        <v>34.49999998320892</v>
      </c>
      <c r="F26" s="27">
        <f>E26-D26</f>
        <v/>
      </c>
      <c r="G26" s="28">
        <f>IF(ABS(D26)&gt;0.000000000001,F26/D26,"—")</f>
        <v/>
      </c>
      <c r="H26" s="29" t="n">
        <v>0.0001</v>
      </c>
      <c r="I26" s="30" t="n">
        <v>1e-06</v>
      </c>
      <c r="J26" s="31">
        <f>IF(ABS(F26)&lt;=MAX(H26*ABS(D26),I26),"OK","NO")</f>
        <v/>
      </c>
      <c r="K26" s="17" t="inlineStr">
        <is>
          <t>Fórmula</t>
        </is>
      </c>
      <c r="L26" s="9" t="inlineStr">
        <is>
          <t>(R1*L/2-w*(L/2-a)^2/2)/1000000</t>
        </is>
      </c>
      <c r="M26" s="9" t="inlineStr">
        <is>
          <t>Barra 1, en x = 0.5·L, momento flector Mz (eje fuerte) · combinación «C1: 1,0·D»</t>
        </is>
      </c>
      <c r="N26" s="9" t="inlineStr">
        <is>
          <t>Se comparan valores absolutos (la convención de signo es independiente del resultado).</t>
        </is>
      </c>
    </row>
    <row r="27" ht="28" customHeight="1">
      <c r="A27" s="17" t="n">
        <v>6</v>
      </c>
      <c r="B27" s="8" t="inlineStr">
        <is>
          <t>Momento máximo (V = 0) en x0</t>
        </is>
      </c>
      <c r="C27" s="17" t="inlineStr">
        <is>
          <t>kN·m</t>
        </is>
      </c>
      <c r="D27" s="26">
        <f>ABS(($D$15*$D$10+$D$15^2/(2*$D$12))/1000000)</f>
        <v/>
      </c>
      <c r="E27" s="25" t="n">
        <v>35.99999998296232</v>
      </c>
      <c r="F27" s="27">
        <f>E27-D27</f>
        <v/>
      </c>
      <c r="G27" s="28">
        <f>IF(ABS(D27)&gt;0.000000000001,F27/D27,"—")</f>
        <v/>
      </c>
      <c r="H27" s="29" t="n">
        <v>0.0001</v>
      </c>
      <c r="I27" s="30" t="n">
        <v>1e-06</v>
      </c>
      <c r="J27" s="31">
        <f>IF(ABS(F27)&lt;=MAX(H27*ABS(D27),I27),"OK","NO")</f>
        <v/>
      </c>
      <c r="K27" s="17" t="inlineStr">
        <is>
          <t>Fórmula</t>
        </is>
      </c>
      <c r="L27" s="9" t="inlineStr">
        <is>
          <t>(R1*a+R1^2/(2*w))/1000000</t>
        </is>
      </c>
      <c r="M27" s="9" t="inlineStr">
        <is>
          <t>Barra 1, en x = 0.4166666666666667·L, momento flector Mz (eje fuerte) · combinación «C1: 1,0·D»</t>
        </is>
      </c>
      <c r="N27" s="9" t="inlineStr">
        <is>
          <t>Se comparan valores absolutos (la convención de signo es independiente del resultado).</t>
        </is>
      </c>
    </row>
    <row r="28" ht="28" customHeight="1">
      <c r="A28" s="17" t="n">
        <v>7</v>
      </c>
      <c r="B28" s="8" t="inlineStr">
        <is>
          <t>Flecha a media luz (funciones de singularidad)</t>
        </is>
      </c>
      <c r="C28" s="17" t="inlineStr">
        <is>
          <t>mm</t>
        </is>
      </c>
      <c r="D28" s="26">
        <f>($D$15*($D$9/2)^3/6-$D$12/24*MAX($D$9/2-$D$10,0)^4+$D$12/24*MAX($D$9/2-$D$10-$D$11,0)^4+$D$18*($D$9/2))/($D$8*$D$13)</f>
        <v/>
      </c>
      <c r="E28" s="25" t="n">
        <v>-32.04612710356159</v>
      </c>
      <c r="F28" s="27">
        <f>E28-D28</f>
        <v/>
      </c>
      <c r="G28" s="28">
        <f>IF(ABS(D28)&gt;0.000000000001,F28/D28,"—")</f>
        <v/>
      </c>
      <c r="H28" s="29" t="n">
        <v>0.0001</v>
      </c>
      <c r="I28" s="30" t="n">
        <v>1e-06</v>
      </c>
      <c r="J28" s="31">
        <f>IF(ABS(F28)&lt;=MAX(H28*ABS(D28),I28),"OK","NO")</f>
        <v/>
      </c>
      <c r="K28" s="17" t="inlineStr">
        <is>
          <t>Fórmula</t>
        </is>
      </c>
      <c r="L28" s="9" t="inlineStr">
        <is>
          <t>(R1*(L/2)^3/6-w/24*MAX(L/2-a,0)^4+w/24*MAX(L/2-a-c,0)^4+C1*(L/2))/(E*I)</t>
        </is>
      </c>
      <c r="M28" s="9" t="inlineStr">
        <is>
          <t>Barra 1, en x = 0.5·L, flecha vy (plano del alma) · combinación «C1: 1,0·D»</t>
        </is>
      </c>
      <c r="N28" s="9" t="inlineStr"/>
    </row>
    <row r="29" ht="28" customHeight="1">
      <c r="A29" s="17" t="n">
        <v>8</v>
      </c>
      <c r="B29" s="8" t="inlineStr">
        <is>
          <t>Viga 2 (plano débil): reacción horizontal en A (se opone a la carga en +Y)</t>
        </is>
      </c>
      <c r="C29" s="17" t="inlineStr">
        <is>
          <t>kN</t>
        </is>
      </c>
      <c r="D29" s="26">
        <f>-$D$15/1000</f>
        <v/>
      </c>
      <c r="E29" s="25" t="n">
        <v>-24.00000000674883</v>
      </c>
      <c r="F29" s="27">
        <f>E29-D29</f>
        <v/>
      </c>
      <c r="G29" s="28">
        <f>IF(ABS(D29)&gt;0.000000000001,F29/D29,"—")</f>
        <v/>
      </c>
      <c r="H29" s="29" t="n">
        <v>0.0001</v>
      </c>
      <c r="I29" s="30" t="n">
        <v>1e-06</v>
      </c>
      <c r="J29" s="31">
        <f>IF(ABS(F29)&lt;=MAX(H29*ABS(D29),I29),"OK","NO")</f>
        <v/>
      </c>
      <c r="K29" s="17" t="inlineStr">
        <is>
          <t>Fórmula</t>
        </is>
      </c>
      <c r="L29" s="9" t="inlineStr">
        <is>
          <t>-R1/1000</t>
        </is>
      </c>
      <c r="M29" s="9" t="inlineStr">
        <is>
          <t>Reacción Fy en el nudo 3 · combinación «C1: 1,0·D»</t>
        </is>
      </c>
      <c r="N29" s="9" t="inlineStr"/>
    </row>
    <row r="30" ht="28" customHeight="1">
      <c r="A30" s="17" t="n">
        <v>9</v>
      </c>
      <c r="B30" s="8" t="inlineStr">
        <is>
          <t>Viga 2 (plano débil): momento débil a media luz</t>
        </is>
      </c>
      <c r="C30" s="17" t="inlineStr">
        <is>
          <t>kN·m</t>
        </is>
      </c>
      <c r="D30" s="26">
        <f>ABS(($D$15*$D$9/2-$D$12*($D$9/2-$D$10)^2/2)/1000000)</f>
        <v/>
      </c>
      <c r="E30" s="25" t="n">
        <v>34.49999977024646</v>
      </c>
      <c r="F30" s="27">
        <f>E30-D30</f>
        <v/>
      </c>
      <c r="G30" s="28">
        <f>IF(ABS(D30)&gt;0.000000000001,F30/D30,"—")</f>
        <v/>
      </c>
      <c r="H30" s="29" t="n">
        <v>0.0001</v>
      </c>
      <c r="I30" s="30" t="n">
        <v>1e-06</v>
      </c>
      <c r="J30" s="31">
        <f>IF(ABS(F30)&lt;=MAX(H30*ABS(D30),I30),"OK","NO")</f>
        <v/>
      </c>
      <c r="K30" s="17" t="inlineStr">
        <is>
          <t>Fórmula</t>
        </is>
      </c>
      <c r="L30" s="9" t="inlineStr">
        <is>
          <t>(R1*L/2-w*(L/2-a)^2/2)/1000000</t>
        </is>
      </c>
      <c r="M30" s="9" t="inlineStr">
        <is>
          <t>Barra 2, en x = 0.5·L, momento flector My (eje débil) · combinación «C1: 1,0·D»</t>
        </is>
      </c>
      <c r="N30" s="9" t="inlineStr">
        <is>
          <t>Se comparan valores absolutos (la convención de signo es independiente del resultado).</t>
        </is>
      </c>
    </row>
    <row r="31" ht="16" customHeight="1">
      <c r="A31" s="17" t="n">
        <v>10</v>
      </c>
      <c r="B31" s="8" t="inlineStr">
        <is>
          <t>Viga 2 (plano débil): flecha horizontal a media luz</t>
        </is>
      </c>
      <c r="C31" s="17" t="inlineStr">
        <is>
          <t>mm</t>
        </is>
      </c>
      <c r="D31" s="26">
        <f>ABS(($D$15*($D$9/2)^3/6-$D$12/24*MAX($D$9/2-$D$10,0)^4+$D$12/24*MAX($D$9/2-$D$10-$D$11,0)^4+$D$18*($D$9/2))/($D$8*$D$14))</f>
        <v/>
      </c>
      <c r="E31" s="25" t="n">
        <v>438.4903132609484</v>
      </c>
      <c r="F31" s="27">
        <f>E31-D31</f>
        <v/>
      </c>
      <c r="G31" s="28">
        <f>IF(ABS(D31)&gt;0.000000000001,F31/D31,"—")</f>
        <v/>
      </c>
      <c r="H31" s="29" t="n">
        <v>0.0001</v>
      </c>
      <c r="I31" s="30" t="n">
        <v>1e-06</v>
      </c>
      <c r="J31" s="31">
        <f>IF(ABS(F31)&lt;=MAX(H31*ABS(D31),I31),"OK","NO")</f>
        <v/>
      </c>
      <c r="K31" s="17" t="inlineStr">
        <is>
          <t>Fórmula</t>
        </is>
      </c>
      <c r="L31" s="9" t="inlineStr">
        <is>
          <t>(R1*(L/2)^3/6-w/24*MAX(L/2-a,0)^4+w/24*MAX(L/2-a-c,0)^4+C1*(L/2))/(E*Iy)</t>
        </is>
      </c>
      <c r="M31" s="9" t="inlineStr">
        <is>
          <t>Barra 2, en x = 0.5·L, flecha vz · combinación «C1: 1,0·D»</t>
        </is>
      </c>
      <c r="N31" s="9" t="inlineStr">
        <is>
          <t>Se comparan valores absolutos (la convención de signo es independiente del resultado).</t>
        </is>
      </c>
    </row>
    <row r="33">
      <c r="B33" s="4" t="inlineStr">
        <is>
          <t>Comprobaciones dentro de tolerancia</t>
        </is>
      </c>
      <c r="D33" s="4">
        <f>COUNTIF(J22:J31,"OK")</f>
        <v/>
      </c>
      <c r="E33" s="4">
        <f>ROWS(J22:J31)</f>
        <v/>
      </c>
      <c r="F33" s="4">
        <f>IF(D33=E33,"VERIFICA","DIFIERE")</f>
        <v/>
      </c>
    </row>
    <row r="34">
      <c r="B34" s="2" t="inlineStr">
        <is>
          <t>Azul = dato ingresado o valor que entregó el programa (pegado); negro = fórmula de Excel. El valor «Programa» es el resultado del motor de cálculo de la app para el mismo modelo.</t>
        </is>
      </c>
    </row>
  </sheetData>
  <mergeCells count="2">
    <mergeCell ref="A3:L3"/>
    <mergeCell ref="A4:L4"/>
  </mergeCells>
  <conditionalFormatting sqref="J22:J31">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32.xml><?xml version="1.0" encoding="utf-8"?>
<worksheet xmlns="http://schemas.openxmlformats.org/spreadsheetml/2006/main">
  <sheetPr>
    <outlinePr summaryBelow="1" summaryRight="1"/>
    <pageSetUpPr fitToPage="1"/>
  </sheetPr>
  <dimension ref="A1:N28"/>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N03 · Carga trapezoidal sobre toda la luz (uniforme + triangular)</t>
        </is>
      </c>
    </row>
    <row r="2">
      <c r="A2" s="2" t="inlineStr">
        <is>
          <t>Solución clásica.  Fuente: Soluciones clásicas: Timoshenko «Resistencia de materiales» y «Theory of Elastic Stability» (Timoshenko &amp; Gere), Roark «Formulas for Stress and Strain», método de pendiente-deflexión, Ghali &amp; Neville «Structural Analysis» (efectos térmicos y asentamientos)</t>
        </is>
      </c>
    </row>
    <row r="3" ht="30" customHeight="1">
      <c r="A3" s="14" t="inlineStr">
        <is>
          <t>Enunciado. Viga IPE 200 biapoyada de 6,00 m con una carga trapezoidal que va de 5 kN/m en el apoyo A a 20 kN/m en el apoyo B. Se trata como la suma de una carga uniforme de 5 kN/m y una triangular de 15 kN/m; se comparan reacciones, momento a un cuarto y a media luz, flecha a media luz y los giros de apoyo.</t>
        </is>
      </c>
    </row>
    <row r="4" ht="28" customHeight="1">
      <c r="A4" s="14" t="inlineStr">
        <is>
          <t>Perfil. IPE 200 (tabla): Ix = 1 943 cm⁴.</t>
        </is>
      </c>
    </row>
    <row r="6">
      <c r="A6" s="22" t="inlineStr">
        <is>
          <t>DATOS DEL EJERCICIO</t>
        </is>
      </c>
      <c r="B6" s="22" t="n"/>
      <c r="C6" s="22" t="n"/>
      <c r="D6" s="22" t="n"/>
      <c r="E6" s="22" t="n"/>
      <c r="F6" s="22" t="n"/>
      <c r="G6" s="22" t="n"/>
      <c r="H6" s="22" t="n"/>
      <c r="I6" s="22" t="n"/>
      <c r="J6" s="22" t="n"/>
      <c r="K6" s="22" t="n"/>
      <c r="L6" s="22" t="n"/>
      <c r="M6" s="22" t="n"/>
      <c r="N6" s="22" t="n"/>
    </row>
    <row r="7">
      <c r="A7" s="5" t="inlineStr">
        <is>
          <t>#</t>
        </is>
      </c>
      <c r="B7" s="5" t="inlineStr">
        <is>
          <t>Dato</t>
        </is>
      </c>
      <c r="C7" s="5" t="inlineStr">
        <is>
          <t>Unidad</t>
        </is>
      </c>
      <c r="D7" s="5" t="inlineStr">
        <is>
          <t>Valor</t>
        </is>
      </c>
      <c r="K7" s="5" t="inlineStr">
        <is>
          <t>Símbolo</t>
        </is>
      </c>
      <c r="L7" s="5" t="inlineStr">
        <is>
          <t>Fórmula (texto)</t>
        </is>
      </c>
    </row>
    <row r="8">
      <c r="A8" s="17" t="n">
        <v>1</v>
      </c>
      <c r="B8" s="8" t="inlineStr">
        <is>
          <t>Módulo elástico</t>
        </is>
      </c>
      <c r="C8" s="17" t="inlineStr">
        <is>
          <t>MPa</t>
        </is>
      </c>
      <c r="D8" s="23" t="n">
        <v>200000</v>
      </c>
      <c r="K8" s="17" t="inlineStr">
        <is>
          <t>E</t>
        </is>
      </c>
      <c r="L8" s="24" t="inlineStr">
        <is>
          <t>dato ingresado</t>
        </is>
      </c>
    </row>
    <row r="9">
      <c r="A9" s="17" t="n">
        <v>2</v>
      </c>
      <c r="B9" s="8" t="inlineStr">
        <is>
          <t>Luz</t>
        </is>
      </c>
      <c r="C9" s="17" t="inlineStr">
        <is>
          <t>mm</t>
        </is>
      </c>
      <c r="D9" s="23" t="n">
        <v>6000</v>
      </c>
      <c r="K9" s="17" t="inlineStr">
        <is>
          <t>L</t>
        </is>
      </c>
      <c r="L9" s="24" t="inlineStr">
        <is>
          <t>dato ingresado</t>
        </is>
      </c>
    </row>
    <row r="10">
      <c r="A10" s="17" t="n">
        <v>3</v>
      </c>
      <c r="B10" s="8" t="inlineStr">
        <is>
          <t>Carga en A</t>
        </is>
      </c>
      <c r="C10" s="17" t="inlineStr">
        <is>
          <t>kN/m</t>
        </is>
      </c>
      <c r="D10" s="25" t="n">
        <v>5</v>
      </c>
      <c r="K10" s="17" t="inlineStr">
        <is>
          <t>w1</t>
        </is>
      </c>
      <c r="L10" s="24" t="inlineStr">
        <is>
          <t>dato ingresado</t>
        </is>
      </c>
    </row>
    <row r="11">
      <c r="A11" s="17" t="n">
        <v>4</v>
      </c>
      <c r="B11" s="8" t="inlineStr">
        <is>
          <t>Carga en B</t>
        </is>
      </c>
      <c r="C11" s="17" t="inlineStr">
        <is>
          <t>kN/m</t>
        </is>
      </c>
      <c r="D11" s="25" t="n">
        <v>20</v>
      </c>
      <c r="K11" s="17" t="inlineStr">
        <is>
          <t>w2</t>
        </is>
      </c>
      <c r="L11" s="24" t="inlineStr">
        <is>
          <t>dato ingresado</t>
        </is>
      </c>
    </row>
    <row r="12">
      <c r="A12" s="17" t="n">
        <v>5</v>
      </c>
      <c r="B12" s="8" t="inlineStr">
        <is>
          <t>Parte triangular</t>
        </is>
      </c>
      <c r="C12" s="17" t="inlineStr">
        <is>
          <t>kN/m</t>
        </is>
      </c>
      <c r="D12" s="26">
        <f>$D$11-$D$10</f>
        <v/>
      </c>
      <c r="K12" s="17" t="inlineStr">
        <is>
          <t>dw</t>
        </is>
      </c>
      <c r="L12" s="24" t="inlineStr">
        <is>
          <t>valor = w2-w1</t>
        </is>
      </c>
    </row>
    <row r="13">
      <c r="A13" s="17" t="n">
        <v>6</v>
      </c>
      <c r="B13" s="8" t="inlineStr">
        <is>
          <t>Ix IPE 200</t>
        </is>
      </c>
      <c r="C13" s="17" t="inlineStr">
        <is>
          <t>mm⁴</t>
        </is>
      </c>
      <c r="D13" s="35" t="n">
        <v>19430000</v>
      </c>
      <c r="K13" s="17" t="inlineStr">
        <is>
          <t>I</t>
        </is>
      </c>
      <c r="L13" s="24" t="inlineStr">
        <is>
          <t>dato ingresado</t>
        </is>
      </c>
    </row>
    <row r="14">
      <c r="A14" s="17" t="n">
        <v>7</v>
      </c>
      <c r="B14" s="8" t="inlineStr">
        <is>
          <t>Reacción en A</t>
        </is>
      </c>
      <c r="C14" s="17" t="inlineStr">
        <is>
          <t>N</t>
        </is>
      </c>
      <c r="D14" s="38">
        <f>$D$10*$D$9/2+$D$12*$D$9/6</f>
        <v/>
      </c>
      <c r="K14" s="17" t="inlineStr">
        <is>
          <t>RA</t>
        </is>
      </c>
      <c r="L14" s="24" t="inlineStr">
        <is>
          <t>valor = w1*L/2+dw*L/6</t>
        </is>
      </c>
    </row>
    <row r="15">
      <c r="A15" s="17" t="n">
        <v>8</v>
      </c>
      <c r="B15" s="8" t="inlineStr">
        <is>
          <t>Reacción en B</t>
        </is>
      </c>
      <c r="C15" s="17" t="inlineStr">
        <is>
          <t>N</t>
        </is>
      </c>
      <c r="D15" s="38">
        <f>$D$10*$D$9/2+$D$12*$D$9/3</f>
        <v/>
      </c>
      <c r="K15" s="17" t="inlineStr">
        <is>
          <t>RB</t>
        </is>
      </c>
      <c r="L15" s="24" t="inlineStr">
        <is>
          <t>valor = w1*L/2+dw*L/3</t>
        </is>
      </c>
    </row>
    <row r="17">
      <c r="A17" s="22" t="inlineStr">
        <is>
          <t>COMPARACIÓN: TEORÍA / DATO PUBLICADO  vs  PROGRAMA (Atlas Estructuras 3D)</t>
        </is>
      </c>
      <c r="B17" s="22" t="n"/>
      <c r="C17" s="22" t="n"/>
      <c r="D17" s="22" t="n"/>
      <c r="E17" s="22" t="n"/>
      <c r="F17" s="22" t="n"/>
      <c r="G17" s="22" t="n"/>
      <c r="H17" s="22" t="n"/>
      <c r="I17" s="22" t="n"/>
      <c r="J17" s="22" t="n"/>
      <c r="K17" s="22" t="n"/>
      <c r="L17" s="22" t="n"/>
      <c r="M17" s="22" t="n"/>
      <c r="N17" s="22" t="n"/>
    </row>
    <row r="18" ht="30" customHeight="1">
      <c r="A18" s="5" t="inlineStr">
        <is>
          <t>#</t>
        </is>
      </c>
      <c r="B18" s="5" t="inlineStr">
        <is>
          <t>Comprobación</t>
        </is>
      </c>
      <c r="C18" s="5" t="inlineStr">
        <is>
          <t>Unidad</t>
        </is>
      </c>
      <c r="D18" s="5" t="inlineStr">
        <is>
          <t>Teoría / publicado</t>
        </is>
      </c>
      <c r="E18" s="5" t="inlineStr">
        <is>
          <t>Programa</t>
        </is>
      </c>
      <c r="F18" s="5" t="inlineStr">
        <is>
          <t>Diferencia (prog. − teoría)</t>
        </is>
      </c>
      <c r="G18" s="5" t="inlineStr">
        <is>
          <t>Error relativo</t>
        </is>
      </c>
      <c r="H18" s="5" t="inlineStr">
        <is>
          <t>Tol. relativa</t>
        </is>
      </c>
      <c r="I18" s="5" t="inlineStr">
        <is>
          <t>Tol. absoluta</t>
        </is>
      </c>
      <c r="J18" s="5" t="inlineStr">
        <is>
          <t>Estado</t>
        </is>
      </c>
      <c r="K18" s="5" t="inlineStr">
        <is>
          <t>Origen</t>
        </is>
      </c>
      <c r="L18" s="5" t="inlineStr">
        <is>
          <t>Expresión de la teoría (texto)</t>
        </is>
      </c>
      <c r="M18" s="5" t="inlineStr">
        <is>
          <t>Dónde se lee en el programa</t>
        </is>
      </c>
      <c r="N18" s="5" t="inlineStr">
        <is>
          <t>Nota</t>
        </is>
      </c>
    </row>
    <row r="19" ht="16" customHeight="1">
      <c r="A19" s="17" t="n">
        <v>1</v>
      </c>
      <c r="B19" s="8" t="inlineStr">
        <is>
          <t>Reacción en A = w1·L/2 + Δw·L/6</t>
        </is>
      </c>
      <c r="C19" s="17" t="inlineStr">
        <is>
          <t>kN</t>
        </is>
      </c>
      <c r="D19" s="26">
        <f>$D$14/1000</f>
        <v/>
      </c>
      <c r="E19" s="25" t="n">
        <v>29.999999999614</v>
      </c>
      <c r="F19" s="27">
        <f>E19-D19</f>
        <v/>
      </c>
      <c r="G19" s="28">
        <f>IF(ABS(D19)&gt;0.000000000001,F19/D19,"—")</f>
        <v/>
      </c>
      <c r="H19" s="29" t="n">
        <v>0.0001</v>
      </c>
      <c r="I19" s="30" t="n">
        <v>1e-06</v>
      </c>
      <c r="J19" s="31">
        <f>IF(ABS(F19)&lt;=MAX(H19*ABS(D19),I19),"OK","NO")</f>
        <v/>
      </c>
      <c r="K19" s="17" t="inlineStr">
        <is>
          <t>Fórmula</t>
        </is>
      </c>
      <c r="L19" s="9" t="inlineStr">
        <is>
          <t>RA/1000</t>
        </is>
      </c>
      <c r="M19" s="9" t="inlineStr">
        <is>
          <t>Reacción Fz en el nudo 1 · combinación «C1: 1,0·D»</t>
        </is>
      </c>
      <c r="N19" s="9" t="inlineStr"/>
    </row>
    <row r="20" ht="16" customHeight="1">
      <c r="A20" s="17" t="n">
        <v>2</v>
      </c>
      <c r="B20" s="8" t="inlineStr">
        <is>
          <t>Reacción en B = w1·L/2 + Δw·L/3</t>
        </is>
      </c>
      <c r="C20" s="17" t="inlineStr">
        <is>
          <t>kN</t>
        </is>
      </c>
      <c r="D20" s="26">
        <f>$D$15/1000</f>
        <v/>
      </c>
      <c r="E20" s="25" t="n">
        <v>45.000000000386</v>
      </c>
      <c r="F20" s="27">
        <f>E20-D20</f>
        <v/>
      </c>
      <c r="G20" s="28">
        <f>IF(ABS(D20)&gt;0.000000000001,F20/D20,"—")</f>
        <v/>
      </c>
      <c r="H20" s="29" t="n">
        <v>0.0001</v>
      </c>
      <c r="I20" s="30" t="n">
        <v>1e-06</v>
      </c>
      <c r="J20" s="31">
        <f>IF(ABS(F20)&lt;=MAX(H20*ABS(D20),I20),"OK","NO")</f>
        <v/>
      </c>
      <c r="K20" s="17" t="inlineStr">
        <is>
          <t>Fórmula</t>
        </is>
      </c>
      <c r="L20" s="9" t="inlineStr">
        <is>
          <t>RB/1000</t>
        </is>
      </c>
      <c r="M20" s="9" t="inlineStr">
        <is>
          <t>Reacción Fz en el nudo 2 · combinación «C1: 1,0·D»</t>
        </is>
      </c>
      <c r="N20" s="9" t="inlineStr"/>
    </row>
    <row r="21" ht="28" customHeight="1">
      <c r="A21" s="17" t="n">
        <v>3</v>
      </c>
      <c r="B21" s="8" t="inlineStr">
        <is>
          <t>Momento a un cuarto de la luz</t>
        </is>
      </c>
      <c r="C21" s="17" t="inlineStr">
        <is>
          <t>kN·m</t>
        </is>
      </c>
      <c r="D21" s="26">
        <f>ABS(($D$14*$D$9/4-$D$10*($D$9/4)^2/2-$D$12*($D$9/4)^3/(6*$D$9))/1000000)</f>
        <v/>
      </c>
      <c r="E21" s="25" t="n">
        <v>37.96874997162893</v>
      </c>
      <c r="F21" s="27">
        <f>E21-D21</f>
        <v/>
      </c>
      <c r="G21" s="28">
        <f>IF(ABS(D21)&gt;0.000000000001,F21/D21,"—")</f>
        <v/>
      </c>
      <c r="H21" s="29" t="n">
        <v>0.0001</v>
      </c>
      <c r="I21" s="30" t="n">
        <v>1e-06</v>
      </c>
      <c r="J21" s="31">
        <f>IF(ABS(F21)&lt;=MAX(H21*ABS(D21),I21),"OK","NO")</f>
        <v/>
      </c>
      <c r="K21" s="17" t="inlineStr">
        <is>
          <t>Fórmula</t>
        </is>
      </c>
      <c r="L21" s="9" t="inlineStr">
        <is>
          <t>(RA*L/4-w1*(L/4)^2/2-dw*(L/4)^3/(6*L))/1000000</t>
        </is>
      </c>
      <c r="M21" s="9" t="inlineStr">
        <is>
          <t>Barra 1, en x = 0.25·L, momento flector Mz (eje fuerte) · combinación «C1: 1,0·D»</t>
        </is>
      </c>
      <c r="N21" s="9" t="inlineStr">
        <is>
          <t>Se comparan valores absolutos (la convención de signo es independiente del resultado).</t>
        </is>
      </c>
    </row>
    <row r="22" ht="28" customHeight="1">
      <c r="A22" s="17" t="n">
        <v>4</v>
      </c>
      <c r="B22" s="8" t="inlineStr">
        <is>
          <t>Momento a media luz = w1·L²/8 + Δw·L²/16</t>
        </is>
      </c>
      <c r="C22" s="17" t="inlineStr">
        <is>
          <t>kN·m</t>
        </is>
      </c>
      <c r="D22" s="26">
        <f>ABS(($D$10*$D$9^2/8+$D$12*$D$9^2/16)/1000000)</f>
        <v/>
      </c>
      <c r="E22" s="25" t="n">
        <v>56.24999997104992</v>
      </c>
      <c r="F22" s="27">
        <f>E22-D22</f>
        <v/>
      </c>
      <c r="G22" s="28">
        <f>IF(ABS(D22)&gt;0.000000000001,F22/D22,"—")</f>
        <v/>
      </c>
      <c r="H22" s="29" t="n">
        <v>0.0001</v>
      </c>
      <c r="I22" s="30" t="n">
        <v>1e-06</v>
      </c>
      <c r="J22" s="31">
        <f>IF(ABS(F22)&lt;=MAX(H22*ABS(D22),I22),"OK","NO")</f>
        <v/>
      </c>
      <c r="K22" s="17" t="inlineStr">
        <is>
          <t>Fórmula</t>
        </is>
      </c>
      <c r="L22" s="9" t="inlineStr">
        <is>
          <t>(w1*L^2/8+dw*L^2/16)/1000000</t>
        </is>
      </c>
      <c r="M22" s="9" t="inlineStr">
        <is>
          <t>Barra 1, en x = 0.5·L, momento flector Mz (eje fuerte) · combinación «C1: 1,0·D»</t>
        </is>
      </c>
      <c r="N22" s="9" t="inlineStr">
        <is>
          <t>Se comparan valores absolutos (la convención de signo es independiente del resultado).</t>
        </is>
      </c>
    </row>
    <row r="23" ht="28" customHeight="1">
      <c r="A23" s="17" t="n">
        <v>5</v>
      </c>
      <c r="B23" s="8" t="inlineStr">
        <is>
          <t>Flecha a media luz = 5·w1·L⁴/(384EI) + 5·Δw·L⁴/(768EI)</t>
        </is>
      </c>
      <c r="C23" s="17" t="inlineStr">
        <is>
          <t>mm</t>
        </is>
      </c>
      <c r="D23" s="26">
        <f>-(5*$D$10*$D$9^4/384+5*$D$12*$D$9^4/768)/($D$8*$D$13)</f>
        <v/>
      </c>
      <c r="E23" s="25" t="n">
        <v>-54.28139471686167</v>
      </c>
      <c r="F23" s="27">
        <f>E23-D23</f>
        <v/>
      </c>
      <c r="G23" s="28">
        <f>IF(ABS(D23)&gt;0.000000000001,F23/D23,"—")</f>
        <v/>
      </c>
      <c r="H23" s="29" t="n">
        <v>0.0001</v>
      </c>
      <c r="I23" s="30" t="n">
        <v>1e-06</v>
      </c>
      <c r="J23" s="31">
        <f>IF(ABS(F23)&lt;=MAX(H23*ABS(D23),I23),"OK","NO")</f>
        <v/>
      </c>
      <c r="K23" s="17" t="inlineStr">
        <is>
          <t>Fórmula</t>
        </is>
      </c>
      <c r="L23" s="9" t="inlineStr">
        <is>
          <t>-(5*w1*L^4/384+5*dw*L^4/768)/(E*I)</t>
        </is>
      </c>
      <c r="M23" s="9" t="inlineStr">
        <is>
          <t>Barra 1, en x = 0.5·L, flecha vy (plano del alma) · combinación «C1: 1,0·D»</t>
        </is>
      </c>
      <c r="N23" s="9" t="inlineStr"/>
    </row>
    <row r="24" ht="16" customHeight="1">
      <c r="A24" s="17" t="n">
        <v>6</v>
      </c>
      <c r="B24" s="8" t="inlineStr">
        <is>
          <t>Giro en A (extremo menos cargado)</t>
        </is>
      </c>
      <c r="C24" s="17" t="inlineStr">
        <is>
          <t>rad</t>
        </is>
      </c>
      <c r="D24" s="36">
        <f>ABS(($D$10*$D$9^3/24+7*$D$12*$D$9^3/360)/($D$8*$D$13))</f>
        <v/>
      </c>
      <c r="E24" s="37" t="n">
        <v>0.0277920740901461</v>
      </c>
      <c r="F24" s="27">
        <f>E24-D24</f>
        <v/>
      </c>
      <c r="G24" s="28">
        <f>IF(ABS(D24)&gt;0.000000000001,F24/D24,"—")</f>
        <v/>
      </c>
      <c r="H24" s="29" t="n">
        <v>0.0001</v>
      </c>
      <c r="I24" s="30" t="n">
        <v>1e-06</v>
      </c>
      <c r="J24" s="31">
        <f>IF(ABS(F24)&lt;=MAX(H24*ABS(D24),I24),"OK","NO")</f>
        <v/>
      </c>
      <c r="K24" s="17" t="inlineStr">
        <is>
          <t>Fórmula</t>
        </is>
      </c>
      <c r="L24" s="9" t="inlineStr">
        <is>
          <t>(w1*L^3/24+7*dw*L^3/360)/(E*I)</t>
        </is>
      </c>
      <c r="M24" s="9" t="inlineStr">
        <is>
          <t>Desplazamiento Ry del nudo 1 · combinación «C1: 1,0·D»</t>
        </is>
      </c>
      <c r="N24" s="9" t="inlineStr">
        <is>
          <t>Se comparan valores absolutos (la convención de signo es independiente del resultado).</t>
        </is>
      </c>
    </row>
    <row r="25" ht="16" customHeight="1">
      <c r="A25" s="17" t="n">
        <v>7</v>
      </c>
      <c r="B25" s="8" t="inlineStr">
        <is>
          <t>Giro en B (extremo más cargado)</t>
        </is>
      </c>
      <c r="C25" s="17" t="inlineStr">
        <is>
          <t>rad</t>
        </is>
      </c>
      <c r="D25" s="36">
        <f>ABS(($D$10*$D$9^3/24+$D$12*$D$9^3/45)/($D$8*$D$13))</f>
        <v/>
      </c>
      <c r="E25" s="37" t="n">
        <v>0.03010808026556654</v>
      </c>
      <c r="F25" s="27">
        <f>E25-D25</f>
        <v/>
      </c>
      <c r="G25" s="28">
        <f>IF(ABS(D25)&gt;0.000000000001,F25/D25,"—")</f>
        <v/>
      </c>
      <c r="H25" s="29" t="n">
        <v>0.0001</v>
      </c>
      <c r="I25" s="30" t="n">
        <v>1e-06</v>
      </c>
      <c r="J25" s="31">
        <f>IF(ABS(F25)&lt;=MAX(H25*ABS(D25),I25),"OK","NO")</f>
        <v/>
      </c>
      <c r="K25" s="17" t="inlineStr">
        <is>
          <t>Fórmula</t>
        </is>
      </c>
      <c r="L25" s="9" t="inlineStr">
        <is>
          <t>(w1*L^3/24+dw*L^3/45)/(E*I)</t>
        </is>
      </c>
      <c r="M25" s="9" t="inlineStr">
        <is>
          <t>Desplazamiento Ry del nudo 2 · combinación «C1: 1,0·D»</t>
        </is>
      </c>
      <c r="N25" s="9" t="inlineStr">
        <is>
          <t>Se comparan valores absolutos (la convención de signo es independiente del resultado).</t>
        </is>
      </c>
    </row>
    <row r="27">
      <c r="B27" s="4" t="inlineStr">
        <is>
          <t>Comprobaciones dentro de tolerancia</t>
        </is>
      </c>
      <c r="D27" s="4">
        <f>COUNTIF(J19:J25,"OK")</f>
        <v/>
      </c>
      <c r="E27" s="4">
        <f>ROWS(J19:J25)</f>
        <v/>
      </c>
      <c r="F27" s="4">
        <f>IF(D27=E27,"VERIFICA","DIFIERE")</f>
        <v/>
      </c>
    </row>
    <row r="28">
      <c r="B28" s="2" t="inlineStr">
        <is>
          <t>Azul = dato ingresado o valor que entregó el programa (pegado); negro = fórmula de Excel. El valor «Programa» es el resultado del motor de cálculo de la app para el mismo modelo.</t>
        </is>
      </c>
    </row>
  </sheetData>
  <mergeCells count="2">
    <mergeCell ref="A3:L3"/>
    <mergeCell ref="A4:L4"/>
  </mergeCells>
  <conditionalFormatting sqref="J19:J25">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33.xml><?xml version="1.0" encoding="utf-8"?>
<worksheet xmlns="http://schemas.openxmlformats.org/spreadsheetml/2006/main">
  <sheetPr>
    <outlinePr summaryBelow="1" summaryRight="1"/>
    <pageSetUpPr fitToPage="1"/>
  </sheetPr>
  <dimension ref="A1:N31"/>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N04 · Temperatura: variación uniforme y gradiente en el canto</t>
        </is>
      </c>
    </row>
    <row r="2">
      <c r="A2" s="2" t="inlineStr">
        <is>
          <t>Solución clásica.  Fuente: Soluciones clásicas: Timoshenko «Resistencia de materiales» y «Theory of Elastic Stability» (Timoshenko &amp; Gere), Roark «Formulas for Stress and Strain», método de pendiente-deflexión, Ghali &amp; Neville «Structural Analysis» (efectos térmicos y asentamientos)</t>
        </is>
      </c>
    </row>
    <row r="3" ht="54" customHeight="1">
      <c r="A3" s="14" t="inlineStr">
        <is>
          <t>Enunciado. Tres barras IPE 200 independientes. (1) Barra de 3,00 m empotrada en ambos extremos con ΔT = +30 °C uniforme: no puede alargarse, aparece una compresión N = E·A·α·ΔT. (2) Viga biapoyada de 4,00 m con gradiente ΔT = 20 °C entre la cara superior y la inferior: se curva libremente, con flecha central α·ΔT·L²/(8h), giro de apoyo α·ΔT·L/(2h) y sin esfuerzos. (3) Viga de 4,00 m biempotrada con el mismo gradiente: el giro está impedido y el momento es constante e igual a E·I·α·ΔT/h, sin reacciones verticales.</t>
        </is>
      </c>
    </row>
    <row r="4" ht="28" customHeight="1">
      <c r="A4" s="14" t="inlineStr">
        <is>
          <t>Perfil. IPE 200 (tabla): h = 200 mm, A = 28,5 cm², Ix = 1 943 cm⁴.</t>
        </is>
      </c>
    </row>
    <row r="6">
      <c r="A6" s="22" t="inlineStr">
        <is>
          <t>DATOS DEL EJERCICIO</t>
        </is>
      </c>
      <c r="B6" s="22" t="n"/>
      <c r="C6" s="22" t="n"/>
      <c r="D6" s="22" t="n"/>
      <c r="E6" s="22" t="n"/>
      <c r="F6" s="22" t="n"/>
      <c r="G6" s="22" t="n"/>
      <c r="H6" s="22" t="n"/>
      <c r="I6" s="22" t="n"/>
      <c r="J6" s="22" t="n"/>
      <c r="K6" s="22" t="n"/>
      <c r="L6" s="22" t="n"/>
      <c r="M6" s="22" t="n"/>
      <c r="N6" s="22" t="n"/>
    </row>
    <row r="7">
      <c r="A7" s="5" t="inlineStr">
        <is>
          <t>#</t>
        </is>
      </c>
      <c r="B7" s="5" t="inlineStr">
        <is>
          <t>Dato</t>
        </is>
      </c>
      <c r="C7" s="5" t="inlineStr">
        <is>
          <t>Unidad</t>
        </is>
      </c>
      <c r="D7" s="5" t="inlineStr">
        <is>
          <t>Valor</t>
        </is>
      </c>
      <c r="K7" s="5" t="inlineStr">
        <is>
          <t>Símbolo</t>
        </is>
      </c>
      <c r="L7" s="5" t="inlineStr">
        <is>
          <t>Fórmula (texto)</t>
        </is>
      </c>
    </row>
    <row r="8">
      <c r="A8" s="17" t="n">
        <v>1</v>
      </c>
      <c r="B8" s="8" t="inlineStr">
        <is>
          <t>Módulo elástico</t>
        </is>
      </c>
      <c r="C8" s="17" t="inlineStr">
        <is>
          <t>MPa</t>
        </is>
      </c>
      <c r="D8" s="23" t="n">
        <v>200000</v>
      </c>
      <c r="K8" s="17" t="inlineStr">
        <is>
          <t>E</t>
        </is>
      </c>
      <c r="L8" s="24" t="inlineStr">
        <is>
          <t>dato ingresado</t>
        </is>
      </c>
    </row>
    <row r="9">
      <c r="A9" s="17" t="n">
        <v>2</v>
      </c>
      <c r="B9" s="8" t="inlineStr">
        <is>
          <t>Coeficiente de dilatación térmica del acero</t>
        </is>
      </c>
      <c r="C9" s="17" t="inlineStr">
        <is>
          <t>1/°C</t>
        </is>
      </c>
      <c r="D9" s="34" t="n">
        <v>1.2e-05</v>
      </c>
      <c r="K9" s="17" t="inlineStr">
        <is>
          <t>al</t>
        </is>
      </c>
      <c r="L9" s="24" t="inlineStr">
        <is>
          <t>dato ingresado</t>
        </is>
      </c>
    </row>
    <row r="10">
      <c r="A10" s="17" t="n">
        <v>3</v>
      </c>
      <c r="B10" s="8" t="inlineStr">
        <is>
          <t>Área IPE 200</t>
        </is>
      </c>
      <c r="C10" s="17" t="inlineStr">
        <is>
          <t>mm²</t>
        </is>
      </c>
      <c r="D10" s="23" t="n">
        <v>2850</v>
      </c>
      <c r="K10" s="17" t="inlineStr">
        <is>
          <t>A</t>
        </is>
      </c>
      <c r="L10" s="24" t="inlineStr">
        <is>
          <t>dato ingresado</t>
        </is>
      </c>
    </row>
    <row r="11">
      <c r="A11" s="17" t="n">
        <v>4</v>
      </c>
      <c r="B11" s="8" t="inlineStr">
        <is>
          <t>Ix IPE 200</t>
        </is>
      </c>
      <c r="C11" s="17" t="inlineStr">
        <is>
          <t>mm⁴</t>
        </is>
      </c>
      <c r="D11" s="35" t="n">
        <v>19430000</v>
      </c>
      <c r="K11" s="17" t="inlineStr">
        <is>
          <t>I</t>
        </is>
      </c>
      <c r="L11" s="24" t="inlineStr">
        <is>
          <t>dato ingresado</t>
        </is>
      </c>
    </row>
    <row r="12">
      <c r="A12" s="17" t="n">
        <v>5</v>
      </c>
      <c r="B12" s="8" t="inlineStr">
        <is>
          <t>Altura IPE 200</t>
        </is>
      </c>
      <c r="C12" s="17" t="inlineStr">
        <is>
          <t>mm</t>
        </is>
      </c>
      <c r="D12" s="25" t="n">
        <v>200</v>
      </c>
      <c r="K12" s="17" t="inlineStr">
        <is>
          <t>h</t>
        </is>
      </c>
      <c r="L12" s="24" t="inlineStr">
        <is>
          <t>dato ingresado</t>
        </is>
      </c>
    </row>
    <row r="13">
      <c r="A13" s="17" t="n">
        <v>6</v>
      </c>
      <c r="B13" s="8" t="inlineStr">
        <is>
          <t>Largo de la barra (1)</t>
        </is>
      </c>
      <c r="C13" s="17" t="inlineStr">
        <is>
          <t>mm</t>
        </is>
      </c>
      <c r="D13" s="23" t="n">
        <v>3000</v>
      </c>
      <c r="K13" s="17" t="inlineStr">
        <is>
          <t>L1</t>
        </is>
      </c>
      <c r="L13" s="24" t="inlineStr">
        <is>
          <t>dato ingresado</t>
        </is>
      </c>
    </row>
    <row r="14">
      <c r="A14" s="17" t="n">
        <v>7</v>
      </c>
      <c r="B14" s="8" t="inlineStr">
        <is>
          <t>Variación uniforme de temperatura</t>
        </is>
      </c>
      <c r="C14" s="17" t="inlineStr">
        <is>
          <t>°C</t>
        </is>
      </c>
      <c r="D14" s="25" t="n">
        <v>30</v>
      </c>
      <c r="K14" s="17" t="inlineStr">
        <is>
          <t>dT</t>
        </is>
      </c>
      <c r="L14" s="24" t="inlineStr">
        <is>
          <t>dato ingresado</t>
        </is>
      </c>
    </row>
    <row r="15">
      <c r="A15" s="17" t="n">
        <v>8</v>
      </c>
      <c r="B15" s="8" t="inlineStr">
        <is>
          <t>Luz de las vigas (2) y (3)</t>
        </is>
      </c>
      <c r="C15" s="17" t="inlineStr">
        <is>
          <t>mm</t>
        </is>
      </c>
      <c r="D15" s="23" t="n">
        <v>4000</v>
      </c>
      <c r="K15" s="17" t="inlineStr">
        <is>
          <t>L2</t>
        </is>
      </c>
      <c r="L15" s="24" t="inlineStr">
        <is>
          <t>dato ingresado</t>
        </is>
      </c>
    </row>
    <row r="16">
      <c r="A16" s="17" t="n">
        <v>9</v>
      </c>
      <c r="B16" s="8" t="inlineStr">
        <is>
          <t>Gradiente: T(cara superior) − T(cara inferior)</t>
        </is>
      </c>
      <c r="C16" s="17" t="inlineStr">
        <is>
          <t>°C</t>
        </is>
      </c>
      <c r="D16" s="25" t="n">
        <v>20</v>
      </c>
      <c r="K16" s="17" t="inlineStr">
        <is>
          <t>dTy</t>
        </is>
      </c>
      <c r="L16" s="24" t="inlineStr">
        <is>
          <t>dato ingresado</t>
        </is>
      </c>
    </row>
    <row r="18">
      <c r="A18" s="22" t="inlineStr">
        <is>
          <t>COMPARACIÓN: TEORÍA / DATO PUBLICADO  vs  PROGRAMA (Atlas Estructuras 3D)</t>
        </is>
      </c>
      <c r="B18" s="22" t="n"/>
      <c r="C18" s="22" t="n"/>
      <c r="D18" s="22" t="n"/>
      <c r="E18" s="22" t="n"/>
      <c r="F18" s="22" t="n"/>
      <c r="G18" s="22" t="n"/>
      <c r="H18" s="22" t="n"/>
      <c r="I18" s="22" t="n"/>
      <c r="J18" s="22" t="n"/>
      <c r="K18" s="22" t="n"/>
      <c r="L18" s="22" t="n"/>
      <c r="M18" s="22" t="n"/>
      <c r="N18" s="22" t="n"/>
    </row>
    <row r="19" ht="30" customHeight="1">
      <c r="A19" s="5" t="inlineStr">
        <is>
          <t>#</t>
        </is>
      </c>
      <c r="B19" s="5" t="inlineStr">
        <is>
          <t>Comprobación</t>
        </is>
      </c>
      <c r="C19" s="5" t="inlineStr">
        <is>
          <t>Unidad</t>
        </is>
      </c>
      <c r="D19" s="5" t="inlineStr">
        <is>
          <t>Teoría / publicado</t>
        </is>
      </c>
      <c r="E19" s="5" t="inlineStr">
        <is>
          <t>Programa</t>
        </is>
      </c>
      <c r="F19" s="5" t="inlineStr">
        <is>
          <t>Diferencia (prog. − teoría)</t>
        </is>
      </c>
      <c r="G19" s="5" t="inlineStr">
        <is>
          <t>Error relativo</t>
        </is>
      </c>
      <c r="H19" s="5" t="inlineStr">
        <is>
          <t>Tol. relativa</t>
        </is>
      </c>
      <c r="I19" s="5" t="inlineStr">
        <is>
          <t>Tol. absoluta</t>
        </is>
      </c>
      <c r="J19" s="5" t="inlineStr">
        <is>
          <t>Estado</t>
        </is>
      </c>
      <c r="K19" s="5" t="inlineStr">
        <is>
          <t>Origen</t>
        </is>
      </c>
      <c r="L19" s="5" t="inlineStr">
        <is>
          <t>Expresión de la teoría (texto)</t>
        </is>
      </c>
      <c r="M19" s="5" t="inlineStr">
        <is>
          <t>Dónde se lee en el programa</t>
        </is>
      </c>
      <c r="N19" s="5" t="inlineStr">
        <is>
          <t>Nota</t>
        </is>
      </c>
    </row>
    <row r="20" ht="28" customHeight="1">
      <c r="A20" s="17" t="n">
        <v>1</v>
      </c>
      <c r="B20" s="8" t="inlineStr">
        <is>
          <t>(1) Esfuerzo axil N = −E·A·α·ΔT (compresión)</t>
        </is>
      </c>
      <c r="C20" s="17" t="inlineStr">
        <is>
          <t>kN</t>
        </is>
      </c>
      <c r="D20" s="26">
        <f>-$D$8*$D$10*$D$9*$D$14/1000</f>
        <v/>
      </c>
      <c r="E20" s="25" t="n">
        <v>-205.2</v>
      </c>
      <c r="F20" s="27">
        <f>E20-D20</f>
        <v/>
      </c>
      <c r="G20" s="28">
        <f>IF(ABS(D20)&gt;0.000000000001,F20/D20,"—")</f>
        <v/>
      </c>
      <c r="H20" s="29" t="n">
        <v>0.0001</v>
      </c>
      <c r="I20" s="30" t="n">
        <v>1e-06</v>
      </c>
      <c r="J20" s="31">
        <f>IF(ABS(F20)&lt;=MAX(H20*ABS(D20),I20),"OK","NO")</f>
        <v/>
      </c>
      <c r="K20" s="17" t="inlineStr">
        <is>
          <t>Fórmula</t>
        </is>
      </c>
      <c r="L20" s="9" t="inlineStr">
        <is>
          <t>-E*A*al*dT/1000</t>
        </is>
      </c>
      <c r="M20" s="9" t="inlineStr">
        <is>
          <t>Barra 1, en x = 0.5·L, esfuerzo axil N (tracción +) · combinación «C1: temperatura»</t>
        </is>
      </c>
      <c r="N20" s="9" t="inlineStr"/>
    </row>
    <row r="21" ht="16" customHeight="1">
      <c r="A21" s="17" t="n">
        <v>2</v>
      </c>
      <c r="B21" s="8" t="inlineStr">
        <is>
          <t>(1) Reacción horizontal en el empotramiento</t>
        </is>
      </c>
      <c r="C21" s="17" t="inlineStr">
        <is>
          <t>kN</t>
        </is>
      </c>
      <c r="D21" s="26">
        <f>ABS($D$8*$D$10*$D$9*$D$14/1000)</f>
        <v/>
      </c>
      <c r="E21" s="25" t="n">
        <v>205.2</v>
      </c>
      <c r="F21" s="27">
        <f>E21-D21</f>
        <v/>
      </c>
      <c r="G21" s="28">
        <f>IF(ABS(D21)&gt;0.000000000001,F21/D21,"—")</f>
        <v/>
      </c>
      <c r="H21" s="29" t="n">
        <v>0.0001</v>
      </c>
      <c r="I21" s="30" t="n">
        <v>1e-06</v>
      </c>
      <c r="J21" s="31">
        <f>IF(ABS(F21)&lt;=MAX(H21*ABS(D21),I21),"OK","NO")</f>
        <v/>
      </c>
      <c r="K21" s="17" t="inlineStr">
        <is>
          <t>Fórmula</t>
        </is>
      </c>
      <c r="L21" s="9" t="inlineStr">
        <is>
          <t>E*A*al*dT/1000</t>
        </is>
      </c>
      <c r="M21" s="9" t="inlineStr">
        <is>
          <t>Reacción Fx en el nudo 2 · combinación «C1: temperatura»</t>
        </is>
      </c>
      <c r="N21" s="9" t="inlineStr">
        <is>
          <t>Se comparan valores absolutos (la convención de signo es independiente del resultado).</t>
        </is>
      </c>
    </row>
    <row r="22" ht="28" customHeight="1">
      <c r="A22" s="17" t="n">
        <v>3</v>
      </c>
      <c r="B22" s="8" t="inlineStr">
        <is>
          <t>(1) Alargamiento de la barra (impedido)</t>
        </is>
      </c>
      <c r="C22" s="17" t="inlineStr">
        <is>
          <t>mm</t>
        </is>
      </c>
      <c r="D22" s="36">
        <f>0</f>
        <v/>
      </c>
      <c r="E22" s="37" t="n">
        <v>0</v>
      </c>
      <c r="F22" s="27">
        <f>E22-D22</f>
        <v/>
      </c>
      <c r="G22" s="28">
        <f>IF(ABS(D22)&gt;0.000000000001,F22/D22,"—")</f>
        <v/>
      </c>
      <c r="H22" s="29" t="n">
        <v>0.0001</v>
      </c>
      <c r="I22" s="30" t="n">
        <v>1e-09</v>
      </c>
      <c r="J22" s="31">
        <f>IF(ABS(F22)&lt;=MAX(H22*ABS(D22),I22),"OK","NO")</f>
        <v/>
      </c>
      <c r="K22" s="17" t="inlineStr">
        <is>
          <t>Fórmula</t>
        </is>
      </c>
      <c r="L22" s="9" t="inlineStr">
        <is>
          <t>0</t>
        </is>
      </c>
      <c r="M22" s="9" t="inlineStr">
        <is>
          <t>Barra 1, en x = 0.5·L, alargamiento ux · combinación «C1: temperatura»</t>
        </is>
      </c>
      <c r="N22" s="9" t="inlineStr"/>
    </row>
    <row r="23" ht="28" customHeight="1">
      <c r="A23" s="17" t="n">
        <v>4</v>
      </c>
      <c r="B23" s="8" t="inlineStr">
        <is>
          <t>(2) Flecha central de la viga libre = α·ΔT·L²/(8h)</t>
        </is>
      </c>
      <c r="C23" s="17" t="inlineStr">
        <is>
          <t>mm</t>
        </is>
      </c>
      <c r="D23" s="26">
        <f>ABS($D$9*$D$16*$D$15^2/(8*$D$12))</f>
        <v/>
      </c>
      <c r="E23" s="25" t="n">
        <v>2.399999998764797</v>
      </c>
      <c r="F23" s="27">
        <f>E23-D23</f>
        <v/>
      </c>
      <c r="G23" s="28">
        <f>IF(ABS(D23)&gt;0.000000000001,F23/D23,"—")</f>
        <v/>
      </c>
      <c r="H23" s="29" t="n">
        <v>0.0001</v>
      </c>
      <c r="I23" s="30" t="n">
        <v>1e-06</v>
      </c>
      <c r="J23" s="31">
        <f>IF(ABS(F23)&lt;=MAX(H23*ABS(D23),I23),"OK","NO")</f>
        <v/>
      </c>
      <c r="K23" s="17" t="inlineStr">
        <is>
          <t>Fórmula</t>
        </is>
      </c>
      <c r="L23" s="9" t="inlineStr">
        <is>
          <t>al*dTy*L2^2/(8*h)</t>
        </is>
      </c>
      <c r="M23" s="9" t="inlineStr">
        <is>
          <t>Barra 2, en x = 0.5·L, flecha vy (plano del alma) · combinación «C1: temperatura»</t>
        </is>
      </c>
      <c r="N23" s="9" t="inlineStr">
        <is>
          <t>Se comparan valores absolutos (la convención de signo es independiente del resultado).</t>
        </is>
      </c>
    </row>
    <row r="24" ht="16" customHeight="1">
      <c r="A24" s="17" t="n">
        <v>5</v>
      </c>
      <c r="B24" s="8" t="inlineStr">
        <is>
          <t>(2) Giro de apoyo = α·ΔT·L/(2h)</t>
        </is>
      </c>
      <c r="C24" s="17" t="inlineStr">
        <is>
          <t>rad</t>
        </is>
      </c>
      <c r="D24" s="33">
        <f>ABS($D$9*$D$16*$D$15/(2*$D$12))</f>
        <v/>
      </c>
      <c r="E24" s="34" t="n">
        <v>0.002399999998764797</v>
      </c>
      <c r="F24" s="27">
        <f>E24-D24</f>
        <v/>
      </c>
      <c r="G24" s="28">
        <f>IF(ABS(D24)&gt;0.000000000001,F24/D24,"—")</f>
        <v/>
      </c>
      <c r="H24" s="29" t="n">
        <v>0.0001</v>
      </c>
      <c r="I24" s="30" t="n">
        <v>1e-06</v>
      </c>
      <c r="J24" s="31">
        <f>IF(ABS(F24)&lt;=MAX(H24*ABS(D24),I24),"OK","NO")</f>
        <v/>
      </c>
      <c r="K24" s="17" t="inlineStr">
        <is>
          <t>Fórmula</t>
        </is>
      </c>
      <c r="L24" s="9" t="inlineStr">
        <is>
          <t>al*dTy*L2/(2*h)</t>
        </is>
      </c>
      <c r="M24" s="9" t="inlineStr">
        <is>
          <t>Desplazamiento Ry del nudo 3 · combinación «C1: temperatura»</t>
        </is>
      </c>
      <c r="N24" s="9" t="inlineStr">
        <is>
          <t>Se comparan valores absolutos (la convención de signo es independiente del resultado).</t>
        </is>
      </c>
    </row>
    <row r="25" ht="28" customHeight="1">
      <c r="A25" s="17" t="n">
        <v>6</v>
      </c>
      <c r="B25" s="8" t="inlineStr">
        <is>
          <t>(2) Momento en la viga libre</t>
        </is>
      </c>
      <c r="C25" s="17" t="inlineStr">
        <is>
          <t>kN·m</t>
        </is>
      </c>
      <c r="D25" s="33">
        <f>0</f>
        <v/>
      </c>
      <c r="E25" s="34" t="n">
        <v>-2.399999258356765e-09</v>
      </c>
      <c r="F25" s="27">
        <f>E25-D25</f>
        <v/>
      </c>
      <c r="G25" s="28">
        <f>IF(ABS(D25)&gt;0.000000000001,F25/D25,"—")</f>
        <v/>
      </c>
      <c r="H25" s="29" t="n">
        <v>0.0001</v>
      </c>
      <c r="I25" s="30" t="n">
        <v>1e-06</v>
      </c>
      <c r="J25" s="31">
        <f>IF(ABS(F25)&lt;=MAX(H25*ABS(D25),I25),"OK","NO")</f>
        <v/>
      </c>
      <c r="K25" s="17" t="inlineStr">
        <is>
          <t>Fórmula</t>
        </is>
      </c>
      <c r="L25" s="9" t="inlineStr">
        <is>
          <t>0</t>
        </is>
      </c>
      <c r="M25" s="9" t="inlineStr">
        <is>
          <t>Barra 2, en x = 0.5·L, momento flector Mz (eje fuerte) · combinación «C1: temperatura»</t>
        </is>
      </c>
      <c r="N25" s="9" t="inlineStr"/>
    </row>
    <row r="26" ht="28" customHeight="1">
      <c r="A26" s="17" t="n">
        <v>7</v>
      </c>
      <c r="B26" s="8" t="inlineStr">
        <is>
          <t>(3) Momento constante E·I·α·ΔT/h (viga biempotrada)</t>
        </is>
      </c>
      <c r="C26" s="17" t="inlineStr">
        <is>
          <t>kN·m</t>
        </is>
      </c>
      <c r="D26" s="26">
        <f>ABS($D$8*$D$11*$D$9*$D$16/$D$12/1000000)</f>
        <v/>
      </c>
      <c r="E26" s="25" t="n">
        <v>4.663199999999999</v>
      </c>
      <c r="F26" s="27">
        <f>E26-D26</f>
        <v/>
      </c>
      <c r="G26" s="28">
        <f>IF(ABS(D26)&gt;0.000000000001,F26/D26,"—")</f>
        <v/>
      </c>
      <c r="H26" s="29" t="n">
        <v>0.0001</v>
      </c>
      <c r="I26" s="30" t="n">
        <v>1e-06</v>
      </c>
      <c r="J26" s="31">
        <f>IF(ABS(F26)&lt;=MAX(H26*ABS(D26),I26),"OK","NO")</f>
        <v/>
      </c>
      <c r="K26" s="17" t="inlineStr">
        <is>
          <t>Fórmula</t>
        </is>
      </c>
      <c r="L26" s="9" t="inlineStr">
        <is>
          <t>E*I*al*dTy/h/1000000</t>
        </is>
      </c>
      <c r="M26" s="9" t="inlineStr">
        <is>
          <t>Barra 3, en x = 0.5·L, momento flector Mz (eje fuerte) · combinación «C1: temperatura»</t>
        </is>
      </c>
      <c r="N26" s="9" t="inlineStr">
        <is>
          <t>Se comparan valores absolutos (la convención de signo es independiente del resultado).</t>
        </is>
      </c>
    </row>
    <row r="27" ht="16" customHeight="1">
      <c r="A27" s="17" t="n">
        <v>8</v>
      </c>
      <c r="B27" s="8" t="inlineStr">
        <is>
          <t>(3) Momento en el empotramiento (igual al de la mitad)</t>
        </is>
      </c>
      <c r="C27" s="17" t="inlineStr">
        <is>
          <t>kN·m</t>
        </is>
      </c>
      <c r="D27" s="26">
        <f>ABS($D$8*$D$11*$D$9*$D$16/$D$12/1000000)</f>
        <v/>
      </c>
      <c r="E27" s="25" t="n">
        <v>4.663199999999999</v>
      </c>
      <c r="F27" s="27">
        <f>E27-D27</f>
        <v/>
      </c>
      <c r="G27" s="28">
        <f>IF(ABS(D27)&gt;0.000000000001,F27/D27,"—")</f>
        <v/>
      </c>
      <c r="H27" s="29" t="n">
        <v>0.0001</v>
      </c>
      <c r="I27" s="30" t="n">
        <v>1e-06</v>
      </c>
      <c r="J27" s="31">
        <f>IF(ABS(F27)&lt;=MAX(H27*ABS(D27),I27),"OK","NO")</f>
        <v/>
      </c>
      <c r="K27" s="17" t="inlineStr">
        <is>
          <t>Fórmula</t>
        </is>
      </c>
      <c r="L27" s="9" t="inlineStr">
        <is>
          <t>E*I*al*dTy/h/1000000</t>
        </is>
      </c>
      <c r="M27" s="9" t="inlineStr">
        <is>
          <t>Reacción My en el nudo 5 · combinación «C1: temperatura»</t>
        </is>
      </c>
      <c r="N27" s="9" t="inlineStr">
        <is>
          <t>Se comparan valores absolutos (la convención de signo es independiente del resultado).</t>
        </is>
      </c>
    </row>
    <row r="28" ht="16" customHeight="1">
      <c r="A28" s="17" t="n">
        <v>9</v>
      </c>
      <c r="B28" s="8" t="inlineStr">
        <is>
          <t>(3) Reacción vertical (nula)</t>
        </is>
      </c>
      <c r="C28" s="17" t="inlineStr">
        <is>
          <t>kN</t>
        </is>
      </c>
      <c r="D28" s="36">
        <f>0</f>
        <v/>
      </c>
      <c r="E28" s="37" t="n">
        <v>0</v>
      </c>
      <c r="F28" s="27">
        <f>E28-D28</f>
        <v/>
      </c>
      <c r="G28" s="28">
        <f>IF(ABS(D28)&gt;0.000000000001,F28/D28,"—")</f>
        <v/>
      </c>
      <c r="H28" s="29" t="n">
        <v>0.0001</v>
      </c>
      <c r="I28" s="30" t="n">
        <v>1e-06</v>
      </c>
      <c r="J28" s="31">
        <f>IF(ABS(F28)&lt;=MAX(H28*ABS(D28),I28),"OK","NO")</f>
        <v/>
      </c>
      <c r="K28" s="17" t="inlineStr">
        <is>
          <t>Fórmula</t>
        </is>
      </c>
      <c r="L28" s="9" t="inlineStr">
        <is>
          <t>0</t>
        </is>
      </c>
      <c r="M28" s="9" t="inlineStr">
        <is>
          <t>Reacción Fz en el nudo 5 · combinación «C1: temperatura»</t>
        </is>
      </c>
      <c r="N28" s="9" t="inlineStr"/>
    </row>
    <row r="30">
      <c r="B30" s="4" t="inlineStr">
        <is>
          <t>Comprobaciones dentro de tolerancia</t>
        </is>
      </c>
      <c r="D30" s="4">
        <f>COUNTIF(J20:J28,"OK")</f>
        <v/>
      </c>
      <c r="E30" s="4">
        <f>ROWS(J20:J28)</f>
        <v/>
      </c>
      <c r="F30" s="4">
        <f>IF(D30=E30,"VERIFICA","DIFIERE")</f>
        <v/>
      </c>
    </row>
    <row r="31">
      <c r="B31" s="2" t="inlineStr">
        <is>
          <t>Azul = dato ingresado o valor que entregó el programa (pegado); negro = fórmula de Excel. El valor «Programa» es el resultado del motor de cálculo de la app para el mismo modelo.</t>
        </is>
      </c>
    </row>
  </sheetData>
  <mergeCells count="2">
    <mergeCell ref="A3:L3"/>
    <mergeCell ref="A4:L4"/>
  </mergeCells>
  <conditionalFormatting sqref="J20:J28">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34.xml><?xml version="1.0" encoding="utf-8"?>
<worksheet xmlns="http://schemas.openxmlformats.org/spreadsheetml/2006/main">
  <sheetPr>
    <outlinePr summaryBelow="1" summaryRight="1"/>
    <pageSetUpPr fitToPage="1"/>
  </sheetPr>
  <dimension ref="A1:N37"/>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N05 · Apoyos elásticos: resorte vertical y resorte de giro</t>
        </is>
      </c>
    </row>
    <row r="2">
      <c r="A2" s="2" t="inlineStr">
        <is>
          <t>Solución clásica.  Fuente: Soluciones clásicas: Timoshenko «Resistencia de materiales» y «Theory of Elastic Stability» (Timoshenko &amp; Gere), Roark «Formulas for Stress and Strain», método de pendiente-deflexión, Ghali &amp; Neville «Structural Analysis» (efectos térmicos y asentamientos)</t>
        </is>
      </c>
    </row>
    <row r="3" ht="40.5" customHeight="1">
      <c r="A3" s="14" t="inlineStr">
        <is>
          <t>Enunciado. Tres modelos con resortes de apoyo. (1) Voladizo IPE 200 de 3,00 m con un resorte vertical ks en el extremo libre y una carga P ahí: δ = P/(3EI/L³ + ks) y la fuerza del resorte es ks·δ. (2) Viga biapoyada de 6,00 m con un resorte vertical ks en el centro y la carga P en el centro: δ = P/(48EI/L³ + ks). (3) Viga de 4,00 m empotrada en un extremo y apoyada en el otro sobre un resorte de giro kθ, con carga uniforme: el momento en el apoyo elástico es (wL²/12)·kθ/(kθ + 4EI/L).</t>
        </is>
      </c>
    </row>
    <row r="4" ht="28" customHeight="1">
      <c r="A4" s="14" t="inlineStr">
        <is>
          <t>Perfil. IPE 200 (tabla): Ix = 1 943 cm⁴.</t>
        </is>
      </c>
    </row>
    <row r="6">
      <c r="A6" s="22" t="inlineStr">
        <is>
          <t>DATOS DEL EJERCICIO</t>
        </is>
      </c>
      <c r="B6" s="22" t="n"/>
      <c r="C6" s="22" t="n"/>
      <c r="D6" s="22" t="n"/>
      <c r="E6" s="22" t="n"/>
      <c r="F6" s="22" t="n"/>
      <c r="G6" s="22" t="n"/>
      <c r="H6" s="22" t="n"/>
      <c r="I6" s="22" t="n"/>
      <c r="J6" s="22" t="n"/>
      <c r="K6" s="22" t="n"/>
      <c r="L6" s="22" t="n"/>
      <c r="M6" s="22" t="n"/>
      <c r="N6" s="22" t="n"/>
    </row>
    <row r="7">
      <c r="A7" s="5" t="inlineStr">
        <is>
          <t>#</t>
        </is>
      </c>
      <c r="B7" s="5" t="inlineStr">
        <is>
          <t>Dato</t>
        </is>
      </c>
      <c r="C7" s="5" t="inlineStr">
        <is>
          <t>Unidad</t>
        </is>
      </c>
      <c r="D7" s="5" t="inlineStr">
        <is>
          <t>Valor</t>
        </is>
      </c>
      <c r="K7" s="5" t="inlineStr">
        <is>
          <t>Símbolo</t>
        </is>
      </c>
      <c r="L7" s="5" t="inlineStr">
        <is>
          <t>Fórmula (texto)</t>
        </is>
      </c>
    </row>
    <row r="8">
      <c r="A8" s="17" t="n">
        <v>1</v>
      </c>
      <c r="B8" s="8" t="inlineStr">
        <is>
          <t>Módulo elástico</t>
        </is>
      </c>
      <c r="C8" s="17" t="inlineStr">
        <is>
          <t>MPa</t>
        </is>
      </c>
      <c r="D8" s="23" t="n">
        <v>200000</v>
      </c>
      <c r="K8" s="17" t="inlineStr">
        <is>
          <t>E</t>
        </is>
      </c>
      <c r="L8" s="24" t="inlineStr">
        <is>
          <t>dato ingresado</t>
        </is>
      </c>
    </row>
    <row r="9">
      <c r="A9" s="17" t="n">
        <v>2</v>
      </c>
      <c r="B9" s="8" t="inlineStr">
        <is>
          <t>Ix IPE 200</t>
        </is>
      </c>
      <c r="C9" s="17" t="inlineStr">
        <is>
          <t>mm⁴</t>
        </is>
      </c>
      <c r="D9" s="35" t="n">
        <v>19430000</v>
      </c>
      <c r="K9" s="17" t="inlineStr">
        <is>
          <t>I</t>
        </is>
      </c>
      <c r="L9" s="24" t="inlineStr">
        <is>
          <t>dato ingresado</t>
        </is>
      </c>
    </row>
    <row r="10">
      <c r="A10" s="17" t="n">
        <v>3</v>
      </c>
      <c r="B10" s="8" t="inlineStr">
        <is>
          <t>Largo del voladizo (1)</t>
        </is>
      </c>
      <c r="C10" s="17" t="inlineStr">
        <is>
          <t>mm</t>
        </is>
      </c>
      <c r="D10" s="23" t="n">
        <v>3000</v>
      </c>
      <c r="K10" s="17" t="inlineStr">
        <is>
          <t>L1</t>
        </is>
      </c>
      <c r="L10" s="24" t="inlineStr">
        <is>
          <t>dato ingresado</t>
        </is>
      </c>
    </row>
    <row r="11">
      <c r="A11" s="17" t="n">
        <v>4</v>
      </c>
      <c r="B11" s="8" t="inlineStr">
        <is>
          <t>Carga en el extremo (1)</t>
        </is>
      </c>
      <c r="C11" s="17" t="inlineStr">
        <is>
          <t>kN</t>
        </is>
      </c>
      <c r="D11" s="25" t="n">
        <v>8</v>
      </c>
      <c r="K11" s="17" t="inlineStr">
        <is>
          <t>P1</t>
        </is>
      </c>
      <c r="L11" s="24" t="inlineStr">
        <is>
          <t>dato ingresado</t>
        </is>
      </c>
    </row>
    <row r="12">
      <c r="A12" s="17" t="n">
        <v>5</v>
      </c>
      <c r="B12" s="8" t="inlineStr">
        <is>
          <t>Resorte vertical (1)</t>
        </is>
      </c>
      <c r="C12" s="17" t="inlineStr">
        <is>
          <t>kN/m</t>
        </is>
      </c>
      <c r="D12" s="25" t="n">
        <v>500</v>
      </c>
      <c r="K12" s="17" t="inlineStr">
        <is>
          <t>ks1</t>
        </is>
      </c>
      <c r="L12" s="24" t="inlineStr">
        <is>
          <t>dato ingresado</t>
        </is>
      </c>
    </row>
    <row r="13">
      <c r="A13" s="17" t="n">
        <v>6</v>
      </c>
      <c r="B13" s="8" t="inlineStr">
        <is>
          <t>Rigidez del voladizo</t>
        </is>
      </c>
      <c r="C13" s="17" t="inlineStr">
        <is>
          <t>N/mm</t>
        </is>
      </c>
      <c r="D13" s="26">
        <f>3*$D$8*$D$9/$D$10^3</f>
        <v/>
      </c>
      <c r="K13" s="17" t="inlineStr">
        <is>
          <t>kb1</t>
        </is>
      </c>
      <c r="L13" s="24" t="inlineStr">
        <is>
          <t>valor = 3*E*I/L1^3</t>
        </is>
      </c>
    </row>
    <row r="14">
      <c r="A14" s="17" t="n">
        <v>7</v>
      </c>
      <c r="B14" s="8" t="inlineStr">
        <is>
          <t>Luz de la viga (2)</t>
        </is>
      </c>
      <c r="C14" s="17" t="inlineStr">
        <is>
          <t>mm</t>
        </is>
      </c>
      <c r="D14" s="23" t="n">
        <v>6000</v>
      </c>
      <c r="K14" s="17" t="inlineStr">
        <is>
          <t>L2</t>
        </is>
      </c>
      <c r="L14" s="24" t="inlineStr">
        <is>
          <t>dato ingresado</t>
        </is>
      </c>
    </row>
    <row r="15">
      <c r="A15" s="17" t="n">
        <v>8</v>
      </c>
      <c r="B15" s="8" t="inlineStr">
        <is>
          <t>Carga central (2)</t>
        </is>
      </c>
      <c r="C15" s="17" t="inlineStr">
        <is>
          <t>kN</t>
        </is>
      </c>
      <c r="D15" s="25" t="n">
        <v>20</v>
      </c>
      <c r="K15" s="17" t="inlineStr">
        <is>
          <t>P2</t>
        </is>
      </c>
      <c r="L15" s="24" t="inlineStr">
        <is>
          <t>dato ingresado</t>
        </is>
      </c>
    </row>
    <row r="16">
      <c r="A16" s="17" t="n">
        <v>9</v>
      </c>
      <c r="B16" s="8" t="inlineStr">
        <is>
          <t>Resorte vertical central (2)</t>
        </is>
      </c>
      <c r="C16" s="17" t="inlineStr">
        <is>
          <t>kN/m</t>
        </is>
      </c>
      <c r="D16" s="25" t="n">
        <v>300</v>
      </c>
      <c r="K16" s="17" t="inlineStr">
        <is>
          <t>ks2</t>
        </is>
      </c>
      <c r="L16" s="24" t="inlineStr">
        <is>
          <t>dato ingresado</t>
        </is>
      </c>
    </row>
    <row r="17">
      <c r="A17" s="17" t="n">
        <v>10</v>
      </c>
      <c r="B17" s="8" t="inlineStr">
        <is>
          <t>Rigidez de la viga biapoyada en el centro</t>
        </is>
      </c>
      <c r="C17" s="17" t="inlineStr">
        <is>
          <t>N/mm</t>
        </is>
      </c>
      <c r="D17" s="26">
        <f>48*$D$8*$D$9/$D$14^3</f>
        <v/>
      </c>
      <c r="K17" s="17" t="inlineStr">
        <is>
          <t>kb2</t>
        </is>
      </c>
      <c r="L17" s="24" t="inlineStr">
        <is>
          <t>valor = 48*E*I/L2^3</t>
        </is>
      </c>
    </row>
    <row r="18">
      <c r="A18" s="17" t="n">
        <v>11</v>
      </c>
      <c r="B18" s="8" t="inlineStr">
        <is>
          <t>Largo de la viga (3)</t>
        </is>
      </c>
      <c r="C18" s="17" t="inlineStr">
        <is>
          <t>mm</t>
        </is>
      </c>
      <c r="D18" s="23" t="n">
        <v>4000</v>
      </c>
      <c r="K18" s="17" t="inlineStr">
        <is>
          <t>L3</t>
        </is>
      </c>
      <c r="L18" s="24" t="inlineStr">
        <is>
          <t>dato ingresado</t>
        </is>
      </c>
    </row>
    <row r="19">
      <c r="A19" s="17" t="n">
        <v>12</v>
      </c>
      <c r="B19" s="8" t="inlineStr">
        <is>
          <t>Carga uniforme (3)</t>
        </is>
      </c>
      <c r="C19" s="17" t="inlineStr">
        <is>
          <t>kN/m</t>
        </is>
      </c>
      <c r="D19" s="25" t="n">
        <v>15</v>
      </c>
      <c r="K19" s="17" t="inlineStr">
        <is>
          <t>w3</t>
        </is>
      </c>
      <c r="L19" s="24" t="inlineStr">
        <is>
          <t>dato ingresado</t>
        </is>
      </c>
    </row>
    <row r="20">
      <c r="A20" s="17" t="n">
        <v>13</v>
      </c>
      <c r="B20" s="8" t="inlineStr">
        <is>
          <t>Resorte de giro (3)</t>
        </is>
      </c>
      <c r="C20" s="17" t="inlineStr">
        <is>
          <t>kN·m/rad</t>
        </is>
      </c>
      <c r="D20" s="25" t="n">
        <v>800</v>
      </c>
      <c r="K20" s="17" t="inlineStr">
        <is>
          <t>kt</t>
        </is>
      </c>
      <c r="L20" s="24" t="inlineStr">
        <is>
          <t>dato ingresado</t>
        </is>
      </c>
    </row>
    <row r="21">
      <c r="A21" s="17" t="n">
        <v>14</v>
      </c>
      <c r="B21" s="8" t="inlineStr">
        <is>
          <t>Resorte de giro en N·mm/rad</t>
        </is>
      </c>
      <c r="C21" s="17" t="inlineStr">
        <is>
          <t>N·mm/rad</t>
        </is>
      </c>
      <c r="D21" s="27">
        <f>$D$20*1000000</f>
        <v/>
      </c>
      <c r="K21" s="17" t="inlineStr">
        <is>
          <t>ktn</t>
        </is>
      </c>
      <c r="L21" s="24" t="inlineStr">
        <is>
          <t>valor = kt*1000000</t>
        </is>
      </c>
    </row>
    <row r="22">
      <c r="A22" s="17" t="n">
        <v>15</v>
      </c>
      <c r="B22" s="8" t="inlineStr">
        <is>
          <t>Giro del apoyo elástico (3)</t>
        </is>
      </c>
      <c r="C22" s="17" t="inlineStr">
        <is>
          <t>rad</t>
        </is>
      </c>
      <c r="D22" s="33">
        <f>$D$19*$D$18^2/12/($D$21+4*$D$8*$D$9/$D$18)</f>
        <v/>
      </c>
      <c r="K22" s="17" t="inlineStr">
        <is>
          <t>th3</t>
        </is>
      </c>
      <c r="L22" s="24" t="inlineStr">
        <is>
          <t>valor = w3*L3^2/12/(ktn+4*E*I/L3)</t>
        </is>
      </c>
    </row>
    <row r="24">
      <c r="A24" s="22" t="inlineStr">
        <is>
          <t>COMPARACIÓN: TEORÍA / DATO PUBLICADO  vs  PROGRAMA (Atlas Estructuras 3D)</t>
        </is>
      </c>
      <c r="B24" s="22" t="n"/>
      <c r="C24" s="22" t="n"/>
      <c r="D24" s="22" t="n"/>
      <c r="E24" s="22" t="n"/>
      <c r="F24" s="22" t="n"/>
      <c r="G24" s="22" t="n"/>
      <c r="H24" s="22" t="n"/>
      <c r="I24" s="22" t="n"/>
      <c r="J24" s="22" t="n"/>
      <c r="K24" s="22" t="n"/>
      <c r="L24" s="22" t="n"/>
      <c r="M24" s="22" t="n"/>
      <c r="N24" s="22" t="n"/>
    </row>
    <row r="25" ht="30" customHeight="1">
      <c r="A25" s="5" t="inlineStr">
        <is>
          <t>#</t>
        </is>
      </c>
      <c r="B25" s="5" t="inlineStr">
        <is>
          <t>Comprobación</t>
        </is>
      </c>
      <c r="C25" s="5" t="inlineStr">
        <is>
          <t>Unidad</t>
        </is>
      </c>
      <c r="D25" s="5" t="inlineStr">
        <is>
          <t>Teoría / publicado</t>
        </is>
      </c>
      <c r="E25" s="5" t="inlineStr">
        <is>
          <t>Programa</t>
        </is>
      </c>
      <c r="F25" s="5" t="inlineStr">
        <is>
          <t>Diferencia (prog. − teoría)</t>
        </is>
      </c>
      <c r="G25" s="5" t="inlineStr">
        <is>
          <t>Error relativo</t>
        </is>
      </c>
      <c r="H25" s="5" t="inlineStr">
        <is>
          <t>Tol. relativa</t>
        </is>
      </c>
      <c r="I25" s="5" t="inlineStr">
        <is>
          <t>Tol. absoluta</t>
        </is>
      </c>
      <c r="J25" s="5" t="inlineStr">
        <is>
          <t>Estado</t>
        </is>
      </c>
      <c r="K25" s="5" t="inlineStr">
        <is>
          <t>Origen</t>
        </is>
      </c>
      <c r="L25" s="5" t="inlineStr">
        <is>
          <t>Expresión de la teoría (texto)</t>
        </is>
      </c>
      <c r="M25" s="5" t="inlineStr">
        <is>
          <t>Dónde se lee en el programa</t>
        </is>
      </c>
      <c r="N25" s="5" t="inlineStr">
        <is>
          <t>Nota</t>
        </is>
      </c>
    </row>
    <row r="26" ht="16" customHeight="1">
      <c r="A26" s="17" t="n">
        <v>1</v>
      </c>
      <c r="B26" s="8" t="inlineStr">
        <is>
          <t>(1) Flecha del extremo = P/(3EI/L³ + ks)</t>
        </is>
      </c>
      <c r="C26" s="17" t="inlineStr">
        <is>
          <t>mm</t>
        </is>
      </c>
      <c r="D26" s="26">
        <f>-$D$11*1000/($D$13+$D$12)</f>
        <v/>
      </c>
      <c r="E26" s="25" t="n">
        <v>-8.585738132683288</v>
      </c>
      <c r="F26" s="27">
        <f>E26-D26</f>
        <v/>
      </c>
      <c r="G26" s="28">
        <f>IF(ABS(D26)&gt;0.000000000001,F26/D26,"—")</f>
        <v/>
      </c>
      <c r="H26" s="29" t="n">
        <v>0.0001</v>
      </c>
      <c r="I26" s="30" t="n">
        <v>1e-06</v>
      </c>
      <c r="J26" s="31">
        <f>IF(ABS(F26)&lt;=MAX(H26*ABS(D26),I26),"OK","NO")</f>
        <v/>
      </c>
      <c r="K26" s="17" t="inlineStr">
        <is>
          <t>Fórmula</t>
        </is>
      </c>
      <c r="L26" s="9" t="inlineStr">
        <is>
          <t>-P1*1000/(kb1+ks1)</t>
        </is>
      </c>
      <c r="M26" s="9" t="inlineStr">
        <is>
          <t>Desplazamiento Uz del nudo 2 · combinación «C1: 1,0·D»</t>
        </is>
      </c>
      <c r="N26" s="9" t="inlineStr"/>
    </row>
    <row r="27" ht="16" customHeight="1">
      <c r="A27" s="17" t="n">
        <v>2</v>
      </c>
      <c r="B27" s="8" t="inlineStr">
        <is>
          <t>(1) Reacción del resorte = ks·δ</t>
        </is>
      </c>
      <c r="C27" s="17" t="inlineStr">
        <is>
          <t>kN</t>
        </is>
      </c>
      <c r="D27" s="26">
        <f>$D$12*$D$11*1000/($D$13+$D$12)/1000</f>
        <v/>
      </c>
      <c r="E27" s="25" t="n">
        <v>4.292869066341644</v>
      </c>
      <c r="F27" s="27">
        <f>E27-D27</f>
        <v/>
      </c>
      <c r="G27" s="28">
        <f>IF(ABS(D27)&gt;0.000000000001,F27/D27,"—")</f>
        <v/>
      </c>
      <c r="H27" s="29" t="n">
        <v>0.0001</v>
      </c>
      <c r="I27" s="30" t="n">
        <v>1e-06</v>
      </c>
      <c r="J27" s="31">
        <f>IF(ABS(F27)&lt;=MAX(H27*ABS(D27),I27),"OK","NO")</f>
        <v/>
      </c>
      <c r="K27" s="17" t="inlineStr">
        <is>
          <t>Fórmula</t>
        </is>
      </c>
      <c r="L27" s="9" t="inlineStr">
        <is>
          <t>ks1*P1*1000/(kb1+ks1)/1000</t>
        </is>
      </c>
      <c r="M27" s="9" t="inlineStr">
        <is>
          <t>Reacción Fz en el nudo 2 · combinación «C1: 1,0·D»</t>
        </is>
      </c>
      <c r="N27" s="9" t="inlineStr"/>
    </row>
    <row r="28" ht="16" customHeight="1">
      <c r="A28" s="17" t="n">
        <v>3</v>
      </c>
      <c r="B28" s="8" t="inlineStr">
        <is>
          <t>(1) Reacción en el empotramiento = P − ks·δ</t>
        </is>
      </c>
      <c r="C28" s="17" t="inlineStr">
        <is>
          <t>kN</t>
        </is>
      </c>
      <c r="D28" s="26">
        <f>$D$11-$D$12*$D$11*1000/($D$13+$D$12)/1000</f>
        <v/>
      </c>
      <c r="E28" s="25" t="n">
        <v>3.707130933658354</v>
      </c>
      <c r="F28" s="27">
        <f>E28-D28</f>
        <v/>
      </c>
      <c r="G28" s="28">
        <f>IF(ABS(D28)&gt;0.000000000001,F28/D28,"—")</f>
        <v/>
      </c>
      <c r="H28" s="29" t="n">
        <v>0.0001</v>
      </c>
      <c r="I28" s="30" t="n">
        <v>1e-06</v>
      </c>
      <c r="J28" s="31">
        <f>IF(ABS(F28)&lt;=MAX(H28*ABS(D28),I28),"OK","NO")</f>
        <v/>
      </c>
      <c r="K28" s="17" t="inlineStr">
        <is>
          <t>Fórmula</t>
        </is>
      </c>
      <c r="L28" s="9" t="inlineStr">
        <is>
          <t>P1-ks1*P1*1000/(kb1+ks1)/1000</t>
        </is>
      </c>
      <c r="M28" s="9" t="inlineStr">
        <is>
          <t>Reacción Fz en el nudo 1 · combinación «C1: 1,0·D»</t>
        </is>
      </c>
      <c r="N28" s="9" t="inlineStr"/>
    </row>
    <row r="29" ht="16" customHeight="1">
      <c r="A29" s="17" t="n">
        <v>4</v>
      </c>
      <c r="B29" s="8" t="inlineStr">
        <is>
          <t>(2) Flecha central = P/(48EI/L³ + ks)</t>
        </is>
      </c>
      <c r="C29" s="17" t="inlineStr">
        <is>
          <t>mm</t>
        </is>
      </c>
      <c r="D29" s="26">
        <f>-$D$15*1000/($D$17+$D$16)</f>
        <v/>
      </c>
      <c r="E29" s="25" t="n">
        <v>-17.18869365189561</v>
      </c>
      <c r="F29" s="27">
        <f>E29-D29</f>
        <v/>
      </c>
      <c r="G29" s="28">
        <f>IF(ABS(D29)&gt;0.000000000001,F29/D29,"—")</f>
        <v/>
      </c>
      <c r="H29" s="29" t="n">
        <v>0.0001</v>
      </c>
      <c r="I29" s="30" t="n">
        <v>1e-06</v>
      </c>
      <c r="J29" s="31">
        <f>IF(ABS(F29)&lt;=MAX(H29*ABS(D29),I29),"OK","NO")</f>
        <v/>
      </c>
      <c r="K29" s="17" t="inlineStr">
        <is>
          <t>Fórmula</t>
        </is>
      </c>
      <c r="L29" s="9" t="inlineStr">
        <is>
          <t>-P2*1000/(kb2+ks2)</t>
        </is>
      </c>
      <c r="M29" s="9" t="inlineStr">
        <is>
          <t>Desplazamiento Uz del nudo 4 · combinación «C1: 1,0·D»</t>
        </is>
      </c>
      <c r="N29" s="9" t="inlineStr"/>
    </row>
    <row r="30" ht="16" customHeight="1">
      <c r="A30" s="17" t="n">
        <v>5</v>
      </c>
      <c r="B30" s="8" t="inlineStr">
        <is>
          <t>(2) Reacción del resorte = ks·δ</t>
        </is>
      </c>
      <c r="C30" s="17" t="inlineStr">
        <is>
          <t>kN</t>
        </is>
      </c>
      <c r="D30" s="26">
        <f>$D$16*$D$15*1000/($D$17+$D$16)/1000</f>
        <v/>
      </c>
      <c r="E30" s="25" t="n">
        <v>5.156608095568684</v>
      </c>
      <c r="F30" s="27">
        <f>E30-D30</f>
        <v/>
      </c>
      <c r="G30" s="28">
        <f>IF(ABS(D30)&gt;0.000000000001,F30/D30,"—")</f>
        <v/>
      </c>
      <c r="H30" s="29" t="n">
        <v>0.0001</v>
      </c>
      <c r="I30" s="30" t="n">
        <v>1e-06</v>
      </c>
      <c r="J30" s="31">
        <f>IF(ABS(F30)&lt;=MAX(H30*ABS(D30),I30),"OK","NO")</f>
        <v/>
      </c>
      <c r="K30" s="17" t="inlineStr">
        <is>
          <t>Fórmula</t>
        </is>
      </c>
      <c r="L30" s="9" t="inlineStr">
        <is>
          <t>ks2*P2*1000/(kb2+ks2)/1000</t>
        </is>
      </c>
      <c r="M30" s="9" t="inlineStr">
        <is>
          <t>Reacción Fz en el nudo 4 · combinación «C1: 1,0·D»</t>
        </is>
      </c>
      <c r="N30" s="9" t="inlineStr"/>
    </row>
    <row r="31" ht="16" customHeight="1">
      <c r="A31" s="17" t="n">
        <v>6</v>
      </c>
      <c r="B31" s="8" t="inlineStr">
        <is>
          <t>(2) Reacción en un apoyo extremo = (P − ks·δ)/2</t>
        </is>
      </c>
      <c r="C31" s="17" t="inlineStr">
        <is>
          <t>kN</t>
        </is>
      </c>
      <c r="D31" s="26">
        <f>($D$15-$D$16*$D$15*1000/($D$17+$D$16)/1000)/2</f>
        <v/>
      </c>
      <c r="E31" s="25" t="n">
        <v>7.421695952215658</v>
      </c>
      <c r="F31" s="27">
        <f>E31-D31</f>
        <v/>
      </c>
      <c r="G31" s="28">
        <f>IF(ABS(D31)&gt;0.000000000001,F31/D31,"—")</f>
        <v/>
      </c>
      <c r="H31" s="29" t="n">
        <v>0.0001</v>
      </c>
      <c r="I31" s="30" t="n">
        <v>1e-06</v>
      </c>
      <c r="J31" s="31">
        <f>IF(ABS(F31)&lt;=MAX(H31*ABS(D31),I31),"OK","NO")</f>
        <v/>
      </c>
      <c r="K31" s="17" t="inlineStr">
        <is>
          <t>Fórmula</t>
        </is>
      </c>
      <c r="L31" s="9" t="inlineStr">
        <is>
          <t>(P2-ks2*P2*1000/(kb2+ks2)/1000)/2</t>
        </is>
      </c>
      <c r="M31" s="9" t="inlineStr">
        <is>
          <t>Reacción Fz en el nudo 3 · combinación «C1: 1,0·D»</t>
        </is>
      </c>
      <c r="N31" s="9" t="inlineStr"/>
    </row>
    <row r="32" ht="16" customHeight="1">
      <c r="A32" s="17" t="n">
        <v>7</v>
      </c>
      <c r="B32" s="8" t="inlineStr">
        <is>
          <t>(3) Giro del apoyo elástico</t>
        </is>
      </c>
      <c r="C32" s="17" t="inlineStr">
        <is>
          <t>rad</t>
        </is>
      </c>
      <c r="D32" s="33">
        <f>ABS($D$22)</f>
        <v/>
      </c>
      <c r="E32" s="34" t="n">
        <v>0.004268032436135716</v>
      </c>
      <c r="F32" s="27">
        <f>E32-D32</f>
        <v/>
      </c>
      <c r="G32" s="28">
        <f>IF(ABS(D32)&gt;0.000000000001,F32/D32,"—")</f>
        <v/>
      </c>
      <c r="H32" s="29" t="n">
        <v>0.0001</v>
      </c>
      <c r="I32" s="30" t="n">
        <v>1e-06</v>
      </c>
      <c r="J32" s="31">
        <f>IF(ABS(F32)&lt;=MAX(H32*ABS(D32),I32),"OK","NO")</f>
        <v/>
      </c>
      <c r="K32" s="17" t="inlineStr">
        <is>
          <t>Fórmula</t>
        </is>
      </c>
      <c r="L32" s="9" t="inlineStr">
        <is>
          <t>th3</t>
        </is>
      </c>
      <c r="M32" s="9" t="inlineStr">
        <is>
          <t>Desplazamiento Ry del nudo 6 · combinación «C1: 1,0·D»</t>
        </is>
      </c>
      <c r="N32" s="9" t="inlineStr">
        <is>
          <t>Se comparan valores absolutos (la convención de signo es independiente del resultado).</t>
        </is>
      </c>
    </row>
    <row r="33" ht="16" customHeight="1">
      <c r="A33" s="17" t="n">
        <v>8</v>
      </c>
      <c r="B33" s="8" t="inlineStr">
        <is>
          <t>(3) Momento en el apoyo elástico = kθ·θ</t>
        </is>
      </c>
      <c r="C33" s="17" t="inlineStr">
        <is>
          <t>kN·m</t>
        </is>
      </c>
      <c r="D33" s="26">
        <f>ABS($D$21*$D$22/1000000)</f>
        <v/>
      </c>
      <c r="E33" s="25" t="n">
        <v>3.414425948908573</v>
      </c>
      <c r="F33" s="27">
        <f>E33-D33</f>
        <v/>
      </c>
      <c r="G33" s="28">
        <f>IF(ABS(D33)&gt;0.000000000001,F33/D33,"—")</f>
        <v/>
      </c>
      <c r="H33" s="29" t="n">
        <v>0.0001</v>
      </c>
      <c r="I33" s="30" t="n">
        <v>1e-06</v>
      </c>
      <c r="J33" s="31">
        <f>IF(ABS(F33)&lt;=MAX(H33*ABS(D33),I33),"OK","NO")</f>
        <v/>
      </c>
      <c r="K33" s="17" t="inlineStr">
        <is>
          <t>Fórmula</t>
        </is>
      </c>
      <c r="L33" s="9" t="inlineStr">
        <is>
          <t>ktn*th3/1000000</t>
        </is>
      </c>
      <c r="M33" s="9" t="inlineStr">
        <is>
          <t>Reacción My en el nudo 6 · combinación «C1: 1,0·D»</t>
        </is>
      </c>
      <c r="N33" s="9" t="inlineStr">
        <is>
          <t>Se comparan valores absolutos (la convención de signo es independiente del resultado).</t>
        </is>
      </c>
    </row>
    <row r="34" ht="28" customHeight="1">
      <c r="A34" s="17" t="n">
        <v>9</v>
      </c>
      <c r="B34" s="8" t="inlineStr">
        <is>
          <t>(3) Momento de empotramiento = wL²/12·(kθ+6EI/L)/(kθ+4EI/L)</t>
        </is>
      </c>
      <c r="C34" s="17" t="inlineStr">
        <is>
          <t>kN·m</t>
        </is>
      </c>
      <c r="D34" s="26">
        <f>ABS($D$19*$D$18^2/12*($D$21+6*$D$8*$D$9/$D$18)/($D$21+4*$D$8*$D$9/$D$18)/1000000)</f>
        <v/>
      </c>
      <c r="E34" s="25" t="n">
        <v>28.29278702341174</v>
      </c>
      <c r="F34" s="27">
        <f>E34-D34</f>
        <v/>
      </c>
      <c r="G34" s="28">
        <f>IF(ABS(D34)&gt;0.000000000001,F34/D34,"—")</f>
        <v/>
      </c>
      <c r="H34" s="29" t="n">
        <v>0.0001</v>
      </c>
      <c r="I34" s="30" t="n">
        <v>1e-06</v>
      </c>
      <c r="J34" s="31">
        <f>IF(ABS(F34)&lt;=MAX(H34*ABS(D34),I34),"OK","NO")</f>
        <v/>
      </c>
      <c r="K34" s="17" t="inlineStr">
        <is>
          <t>Fórmula</t>
        </is>
      </c>
      <c r="L34" s="9" t="inlineStr">
        <is>
          <t>w3*L3^2/12*(ktn+6*E*I/L3)/(ktn+4*E*I/L3)/1000000</t>
        </is>
      </c>
      <c r="M34" s="9" t="inlineStr">
        <is>
          <t>Reacción My en el nudo 7 · combinación «C1: 1,0·D»</t>
        </is>
      </c>
      <c r="N34" s="9" t="inlineStr">
        <is>
          <t>Se comparan valores absolutos (la convención de signo es independiente del resultado).</t>
        </is>
      </c>
    </row>
    <row r="36">
      <c r="B36" s="4" t="inlineStr">
        <is>
          <t>Comprobaciones dentro de tolerancia</t>
        </is>
      </c>
      <c r="D36" s="4">
        <f>COUNTIF(J26:J34,"OK")</f>
        <v/>
      </c>
      <c r="E36" s="4">
        <f>ROWS(J26:J34)</f>
        <v/>
      </c>
      <c r="F36" s="4">
        <f>IF(D36=E36,"VERIFICA","DIFIERE")</f>
        <v/>
      </c>
    </row>
    <row r="37">
      <c r="B37" s="2" t="inlineStr">
        <is>
          <t>Azul = dato ingresado o valor que entregó el programa (pegado); negro = fórmula de Excel. El valor «Programa» es el resultado del motor de cálculo de la app para el mismo modelo.</t>
        </is>
      </c>
    </row>
  </sheetData>
  <mergeCells count="2">
    <mergeCell ref="A3:L3"/>
    <mergeCell ref="A4:L4"/>
  </mergeCells>
  <conditionalFormatting sqref="J26:J34">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35.xml><?xml version="1.0" encoding="utf-8"?>
<worksheet xmlns="http://schemas.openxmlformats.org/spreadsheetml/2006/main">
  <sheetPr>
    <outlinePr summaryBelow="1" summaryRight="1"/>
    <pageSetUpPr fitToPage="1"/>
  </sheetPr>
  <dimension ref="A1:N40"/>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N06 · Asentamientos impuestos de apoyo</t>
        </is>
      </c>
    </row>
    <row r="2">
      <c r="A2" s="2" t="inlineStr">
        <is>
          <t>Solución clásica.  Fuente: Soluciones clásicas: Timoshenko «Resistencia de materiales» y «Theory of Elastic Stability» (Timoshenko &amp; Gere), Roark «Formulas for Stress and Strain», método de pendiente-deflexión, Ghali &amp; Neville «Structural Analysis» (efectos térmicos y asentamientos)</t>
        </is>
      </c>
    </row>
    <row r="3" ht="54" customHeight="1">
      <c r="A3" s="14" t="inlineStr">
        <is>
          <t>Enunciado. Tres modelos con descenso impuesto de un apoyo (caso de carga A). (1) Viga IPE 200 de 4,00 m biempotrada con el apoyo derecho 10 mm más abajo: M = 6EIΔ/L² en ambos extremos y corte V = 12EIΔ/L³. (2) Viga continua de dos tramos de 5,00 m con 15 mm de descenso del apoyo central: R_B = 6EIδ/L³ (hacia abajo), R_A = R_C = 3EIδ/L³ y M_B = 3EIδ/L². (3) Voladizo de 3,00 m con un resorte en el extremo cuya base desciende 20 mm: δ = ks·s/(ks + 3EI/L³). (4) Viga biempotrada de 4,00 m con giro impuesto de 5 mrad en el empotramiento izquierdo: M_i = 4EIθ/L, M_j = 2EIθ/L y corte 6EIθ/L².</t>
        </is>
      </c>
    </row>
    <row r="4" ht="28" customHeight="1">
      <c r="A4" s="14" t="inlineStr">
        <is>
          <t>Perfil. IPE 200 (tabla): Ix = 1 943 cm⁴.</t>
        </is>
      </c>
    </row>
    <row r="6">
      <c r="A6" s="22" t="inlineStr">
        <is>
          <t>DATOS DEL EJERCICIO</t>
        </is>
      </c>
      <c r="B6" s="22" t="n"/>
      <c r="C6" s="22" t="n"/>
      <c r="D6" s="22" t="n"/>
      <c r="E6" s="22" t="n"/>
      <c r="F6" s="22" t="n"/>
      <c r="G6" s="22" t="n"/>
      <c r="H6" s="22" t="n"/>
      <c r="I6" s="22" t="n"/>
      <c r="J6" s="22" t="n"/>
      <c r="K6" s="22" t="n"/>
      <c r="L6" s="22" t="n"/>
      <c r="M6" s="22" t="n"/>
      <c r="N6" s="22" t="n"/>
    </row>
    <row r="7">
      <c r="A7" s="5" t="inlineStr">
        <is>
          <t>#</t>
        </is>
      </c>
      <c r="B7" s="5" t="inlineStr">
        <is>
          <t>Dato</t>
        </is>
      </c>
      <c r="C7" s="5" t="inlineStr">
        <is>
          <t>Unidad</t>
        </is>
      </c>
      <c r="D7" s="5" t="inlineStr">
        <is>
          <t>Valor</t>
        </is>
      </c>
      <c r="K7" s="5" t="inlineStr">
        <is>
          <t>Símbolo</t>
        </is>
      </c>
      <c r="L7" s="5" t="inlineStr">
        <is>
          <t>Fórmula (texto)</t>
        </is>
      </c>
    </row>
    <row r="8">
      <c r="A8" s="17" t="n">
        <v>1</v>
      </c>
      <c r="B8" s="8" t="inlineStr">
        <is>
          <t>Módulo elástico</t>
        </is>
      </c>
      <c r="C8" s="17" t="inlineStr">
        <is>
          <t>MPa</t>
        </is>
      </c>
      <c r="D8" s="23" t="n">
        <v>200000</v>
      </c>
      <c r="K8" s="17" t="inlineStr">
        <is>
          <t>E</t>
        </is>
      </c>
      <c r="L8" s="24" t="inlineStr">
        <is>
          <t>dato ingresado</t>
        </is>
      </c>
    </row>
    <row r="9">
      <c r="A9" s="17" t="n">
        <v>2</v>
      </c>
      <c r="B9" s="8" t="inlineStr">
        <is>
          <t>Ix IPE 200</t>
        </is>
      </c>
      <c r="C9" s="17" t="inlineStr">
        <is>
          <t>mm⁴</t>
        </is>
      </c>
      <c r="D9" s="35" t="n">
        <v>19430000</v>
      </c>
      <c r="K9" s="17" t="inlineStr">
        <is>
          <t>I</t>
        </is>
      </c>
      <c r="L9" s="24" t="inlineStr">
        <is>
          <t>dato ingresado</t>
        </is>
      </c>
    </row>
    <row r="10">
      <c r="A10" s="17" t="n">
        <v>3</v>
      </c>
      <c r="B10" s="8" t="inlineStr">
        <is>
          <t>Luz de la viga (1)</t>
        </is>
      </c>
      <c r="C10" s="17" t="inlineStr">
        <is>
          <t>mm</t>
        </is>
      </c>
      <c r="D10" s="23" t="n">
        <v>4000</v>
      </c>
      <c r="K10" s="17" t="inlineStr">
        <is>
          <t>L1</t>
        </is>
      </c>
      <c r="L10" s="24" t="inlineStr">
        <is>
          <t>dato ingresado</t>
        </is>
      </c>
    </row>
    <row r="11">
      <c r="A11" s="17" t="n">
        <v>4</v>
      </c>
      <c r="B11" s="8" t="inlineStr">
        <is>
          <t>Descenso del apoyo derecho (1)</t>
        </is>
      </c>
      <c r="C11" s="17" t="inlineStr">
        <is>
          <t>mm</t>
        </is>
      </c>
      <c r="D11" s="25" t="n">
        <v>10</v>
      </c>
      <c r="K11" s="17" t="inlineStr">
        <is>
          <t>D1</t>
        </is>
      </c>
      <c r="L11" s="24" t="inlineStr">
        <is>
          <t>dato ingresado</t>
        </is>
      </c>
    </row>
    <row r="12">
      <c r="A12" s="17" t="n">
        <v>5</v>
      </c>
      <c r="B12" s="8" t="inlineStr">
        <is>
          <t>Luz de cada tramo (2)</t>
        </is>
      </c>
      <c r="C12" s="17" t="inlineStr">
        <is>
          <t>mm</t>
        </is>
      </c>
      <c r="D12" s="23" t="n">
        <v>5000</v>
      </c>
      <c r="K12" s="17" t="inlineStr">
        <is>
          <t>L2</t>
        </is>
      </c>
      <c r="L12" s="24" t="inlineStr">
        <is>
          <t>dato ingresado</t>
        </is>
      </c>
    </row>
    <row r="13">
      <c r="A13" s="17" t="n">
        <v>6</v>
      </c>
      <c r="B13" s="8" t="inlineStr">
        <is>
          <t>Descenso del apoyo central (2)</t>
        </is>
      </c>
      <c r="C13" s="17" t="inlineStr">
        <is>
          <t>mm</t>
        </is>
      </c>
      <c r="D13" s="25" t="n">
        <v>15</v>
      </c>
      <c r="K13" s="17" t="inlineStr">
        <is>
          <t>D2</t>
        </is>
      </c>
      <c r="L13" s="24" t="inlineStr">
        <is>
          <t>dato ingresado</t>
        </is>
      </c>
    </row>
    <row r="14">
      <c r="A14" s="17" t="n">
        <v>7</v>
      </c>
      <c r="B14" s="8" t="inlineStr">
        <is>
          <t>Largo del voladizo (3)</t>
        </is>
      </c>
      <c r="C14" s="17" t="inlineStr">
        <is>
          <t>mm</t>
        </is>
      </c>
      <c r="D14" s="23" t="n">
        <v>3000</v>
      </c>
      <c r="K14" s="17" t="inlineStr">
        <is>
          <t>L3</t>
        </is>
      </c>
      <c r="L14" s="24" t="inlineStr">
        <is>
          <t>dato ingresado</t>
        </is>
      </c>
    </row>
    <row r="15">
      <c r="A15" s="17" t="n">
        <v>8</v>
      </c>
      <c r="B15" s="8" t="inlineStr">
        <is>
          <t>Resorte del extremo (3)</t>
        </is>
      </c>
      <c r="C15" s="17" t="inlineStr">
        <is>
          <t>kN/m</t>
        </is>
      </c>
      <c r="D15" s="25" t="n">
        <v>400</v>
      </c>
      <c r="K15" s="17" t="inlineStr">
        <is>
          <t>ks3</t>
        </is>
      </c>
      <c r="L15" s="24" t="inlineStr">
        <is>
          <t>dato ingresado</t>
        </is>
      </c>
    </row>
    <row r="16">
      <c r="A16" s="17" t="n">
        <v>9</v>
      </c>
      <c r="B16" s="8" t="inlineStr">
        <is>
          <t>Descenso de la base del resorte (3)</t>
        </is>
      </c>
      <c r="C16" s="17" t="inlineStr">
        <is>
          <t>mm</t>
        </is>
      </c>
      <c r="D16" s="25" t="n">
        <v>20</v>
      </c>
      <c r="K16" s="17" t="inlineStr">
        <is>
          <t>D3</t>
        </is>
      </c>
      <c r="L16" s="24" t="inlineStr">
        <is>
          <t>dato ingresado</t>
        </is>
      </c>
    </row>
    <row r="17">
      <c r="A17" s="17" t="n">
        <v>10</v>
      </c>
      <c r="B17" s="8" t="inlineStr">
        <is>
          <t>Rigidez del voladizo</t>
        </is>
      </c>
      <c r="C17" s="17" t="inlineStr">
        <is>
          <t>N/mm</t>
        </is>
      </c>
      <c r="D17" s="26">
        <f>3*$D$8*$D$9/$D$14^3</f>
        <v/>
      </c>
      <c r="K17" s="17" t="inlineStr">
        <is>
          <t>kb3</t>
        </is>
      </c>
      <c r="L17" s="24" t="inlineStr">
        <is>
          <t>valor = 3*E*I/L3^3</t>
        </is>
      </c>
    </row>
    <row r="18">
      <c r="A18" s="17" t="n">
        <v>11</v>
      </c>
      <c r="B18" s="8" t="inlineStr">
        <is>
          <t>Luz de la viga (4)</t>
        </is>
      </c>
      <c r="C18" s="17" t="inlineStr">
        <is>
          <t>mm</t>
        </is>
      </c>
      <c r="D18" s="23" t="n">
        <v>4000</v>
      </c>
      <c r="K18" s="17" t="inlineStr">
        <is>
          <t>L4</t>
        </is>
      </c>
      <c r="L18" s="24" t="inlineStr">
        <is>
          <t>dato ingresado</t>
        </is>
      </c>
    </row>
    <row r="19">
      <c r="A19" s="17" t="n">
        <v>12</v>
      </c>
      <c r="B19" s="8" t="inlineStr">
        <is>
          <t>Giro impuesto del empotramiento izquierdo (4)</t>
        </is>
      </c>
      <c r="C19" s="17" t="inlineStr">
        <is>
          <t>mrad</t>
        </is>
      </c>
      <c r="D19" s="25" t="n">
        <v>5</v>
      </c>
      <c r="K19" s="17" t="inlineStr">
        <is>
          <t>R4</t>
        </is>
      </c>
      <c r="L19" s="24" t="inlineStr">
        <is>
          <t>dato ingresado</t>
        </is>
      </c>
    </row>
    <row r="20">
      <c r="A20" s="17" t="n">
        <v>13</v>
      </c>
      <c r="B20" s="8" t="inlineStr">
        <is>
          <t>Giro impuesto</t>
        </is>
      </c>
      <c r="C20" s="17" t="inlineStr">
        <is>
          <t>rad</t>
        </is>
      </c>
      <c r="D20" s="33">
        <f>$D$19/1000</f>
        <v/>
      </c>
      <c r="K20" s="17" t="inlineStr">
        <is>
          <t>th4</t>
        </is>
      </c>
      <c r="L20" s="24" t="inlineStr">
        <is>
          <t>valor = R4/1000</t>
        </is>
      </c>
    </row>
    <row r="22">
      <c r="A22" s="22" t="inlineStr">
        <is>
          <t>COMPARACIÓN: TEORÍA / DATO PUBLICADO  vs  PROGRAMA (Atlas Estructuras 3D)</t>
        </is>
      </c>
      <c r="B22" s="22" t="n"/>
      <c r="C22" s="22" t="n"/>
      <c r="D22" s="22" t="n"/>
      <c r="E22" s="22" t="n"/>
      <c r="F22" s="22" t="n"/>
      <c r="G22" s="22" t="n"/>
      <c r="H22" s="22" t="n"/>
      <c r="I22" s="22" t="n"/>
      <c r="J22" s="22" t="n"/>
      <c r="K22" s="22" t="n"/>
      <c r="L22" s="22" t="n"/>
      <c r="M22" s="22" t="n"/>
      <c r="N22" s="22" t="n"/>
    </row>
    <row r="23" ht="30" customHeight="1">
      <c r="A23" s="5" t="inlineStr">
        <is>
          <t>#</t>
        </is>
      </c>
      <c r="B23" s="5" t="inlineStr">
        <is>
          <t>Comprobación</t>
        </is>
      </c>
      <c r="C23" s="5" t="inlineStr">
        <is>
          <t>Unidad</t>
        </is>
      </c>
      <c r="D23" s="5" t="inlineStr">
        <is>
          <t>Teoría / publicado</t>
        </is>
      </c>
      <c r="E23" s="5" t="inlineStr">
        <is>
          <t>Programa</t>
        </is>
      </c>
      <c r="F23" s="5" t="inlineStr">
        <is>
          <t>Diferencia (prog. − teoría)</t>
        </is>
      </c>
      <c r="G23" s="5" t="inlineStr">
        <is>
          <t>Error relativo</t>
        </is>
      </c>
      <c r="H23" s="5" t="inlineStr">
        <is>
          <t>Tol. relativa</t>
        </is>
      </c>
      <c r="I23" s="5" t="inlineStr">
        <is>
          <t>Tol. absoluta</t>
        </is>
      </c>
      <c r="J23" s="5" t="inlineStr">
        <is>
          <t>Estado</t>
        </is>
      </c>
      <c r="K23" s="5" t="inlineStr">
        <is>
          <t>Origen</t>
        </is>
      </c>
      <c r="L23" s="5" t="inlineStr">
        <is>
          <t>Expresión de la teoría (texto)</t>
        </is>
      </c>
      <c r="M23" s="5" t="inlineStr">
        <is>
          <t>Dónde se lee en el programa</t>
        </is>
      </c>
      <c r="N23" s="5" t="inlineStr">
        <is>
          <t>Nota</t>
        </is>
      </c>
    </row>
    <row r="24" ht="28" customHeight="1">
      <c r="A24" s="17" t="n">
        <v>1</v>
      </c>
      <c r="B24" s="8" t="inlineStr">
        <is>
          <t>(1) Momento en el extremo izquierdo = 6EIΔ/L²</t>
        </is>
      </c>
      <c r="C24" s="17" t="inlineStr">
        <is>
          <t>kN·m</t>
        </is>
      </c>
      <c r="D24" s="26">
        <f>ABS(6*$D$8*$D$9*$D$11/$D$10^2/1000000)</f>
        <v/>
      </c>
      <c r="E24" s="25" t="n">
        <v>14.57249999999999</v>
      </c>
      <c r="F24" s="27">
        <f>E24-D24</f>
        <v/>
      </c>
      <c r="G24" s="28">
        <f>IF(ABS(D24)&gt;0.000000000001,F24/D24,"—")</f>
        <v/>
      </c>
      <c r="H24" s="29" t="n">
        <v>0.0001</v>
      </c>
      <c r="I24" s="30" t="n">
        <v>1e-06</v>
      </c>
      <c r="J24" s="31">
        <f>IF(ABS(F24)&lt;=MAX(H24*ABS(D24),I24),"OK","NO")</f>
        <v/>
      </c>
      <c r="K24" s="17" t="inlineStr">
        <is>
          <t>Fórmula</t>
        </is>
      </c>
      <c r="L24" s="9" t="inlineStr">
        <is>
          <t>6*E*I*D1/L1^2/1000000</t>
        </is>
      </c>
      <c r="M24" s="9" t="inlineStr">
        <is>
          <t>Barra 1, en x = 0·L, momento flector Mz (eje fuerte) · combinación «C1: asentamiento»</t>
        </is>
      </c>
      <c r="N24" s="9" t="inlineStr">
        <is>
          <t>Se comparan valores absolutos (la convención de signo es independiente del resultado).</t>
        </is>
      </c>
    </row>
    <row r="25" ht="28" customHeight="1">
      <c r="A25" s="17" t="n">
        <v>2</v>
      </c>
      <c r="B25" s="8" t="inlineStr">
        <is>
          <t>(1) Momento en el extremo derecho</t>
        </is>
      </c>
      <c r="C25" s="17" t="inlineStr">
        <is>
          <t>kN·m</t>
        </is>
      </c>
      <c r="D25" s="26">
        <f>ABS(6*$D$8*$D$9*$D$11/$D$10^2/1000000)</f>
        <v/>
      </c>
      <c r="E25" s="25" t="n">
        <v>14.57249999999999</v>
      </c>
      <c r="F25" s="27">
        <f>E25-D25</f>
        <v/>
      </c>
      <c r="G25" s="28">
        <f>IF(ABS(D25)&gt;0.000000000001,F25/D25,"—")</f>
        <v/>
      </c>
      <c r="H25" s="29" t="n">
        <v>0.0001</v>
      </c>
      <c r="I25" s="30" t="n">
        <v>1e-06</v>
      </c>
      <c r="J25" s="31">
        <f>IF(ABS(F25)&lt;=MAX(H25*ABS(D25),I25),"OK","NO")</f>
        <v/>
      </c>
      <c r="K25" s="17" t="inlineStr">
        <is>
          <t>Fórmula</t>
        </is>
      </c>
      <c r="L25" s="9" t="inlineStr">
        <is>
          <t>6*E*I*D1/L1^2/1000000</t>
        </is>
      </c>
      <c r="M25" s="9" t="inlineStr">
        <is>
          <t>Barra 1, en x = 1·L, momento flector Mz (eje fuerte) · combinación «C1: asentamiento»</t>
        </is>
      </c>
      <c r="N25" s="9" t="inlineStr">
        <is>
          <t>Se comparan valores absolutos (la convención de signo es independiente del resultado).</t>
        </is>
      </c>
    </row>
    <row r="26" ht="28" customHeight="1">
      <c r="A26" s="17" t="n">
        <v>3</v>
      </c>
      <c r="B26" s="8" t="inlineStr">
        <is>
          <t>(1) Corte constante = 12EIΔ/L³</t>
        </is>
      </c>
      <c r="C26" s="17" t="inlineStr">
        <is>
          <t>kN</t>
        </is>
      </c>
      <c r="D26" s="26">
        <f>ABS(12*$D$8*$D$9*$D$11/$D$10^3/1000)</f>
        <v/>
      </c>
      <c r="E26" s="25" t="n">
        <v>7.286249999999996</v>
      </c>
      <c r="F26" s="27">
        <f>E26-D26</f>
        <v/>
      </c>
      <c r="G26" s="28">
        <f>IF(ABS(D26)&gt;0.000000000001,F26/D26,"—")</f>
        <v/>
      </c>
      <c r="H26" s="29" t="n">
        <v>0.0001</v>
      </c>
      <c r="I26" s="30" t="n">
        <v>1e-06</v>
      </c>
      <c r="J26" s="31">
        <f>IF(ABS(F26)&lt;=MAX(H26*ABS(D26),I26),"OK","NO")</f>
        <v/>
      </c>
      <c r="K26" s="17" t="inlineStr">
        <is>
          <t>Fórmula</t>
        </is>
      </c>
      <c r="L26" s="9" t="inlineStr">
        <is>
          <t>12*E*I*D1/L1^3/1000</t>
        </is>
      </c>
      <c r="M26" s="9" t="inlineStr">
        <is>
          <t>Barra 1, en x = 0.5·L, corte Vy (en el plano del alma) · combinación «C1: asentamiento»</t>
        </is>
      </c>
      <c r="N26" s="9" t="inlineStr">
        <is>
          <t>Se comparan valores absolutos (la convención de signo es independiente del resultado).</t>
        </is>
      </c>
    </row>
    <row r="27" ht="16" customHeight="1">
      <c r="A27" s="17" t="n">
        <v>4</v>
      </c>
      <c r="B27" s="8" t="inlineStr">
        <is>
          <t>(1) Reacción vertical en el apoyo izquierdo</t>
        </is>
      </c>
      <c r="C27" s="17" t="inlineStr">
        <is>
          <t>kN</t>
        </is>
      </c>
      <c r="D27" s="26">
        <f>ABS(12*$D$8*$D$9*$D$11/$D$10^3/1000)</f>
        <v/>
      </c>
      <c r="E27" s="25" t="n">
        <v>7.286249999999996</v>
      </c>
      <c r="F27" s="27">
        <f>E27-D27</f>
        <v/>
      </c>
      <c r="G27" s="28">
        <f>IF(ABS(D27)&gt;0.000000000001,F27/D27,"—")</f>
        <v/>
      </c>
      <c r="H27" s="29" t="n">
        <v>0.0001</v>
      </c>
      <c r="I27" s="30" t="n">
        <v>1e-06</v>
      </c>
      <c r="J27" s="31">
        <f>IF(ABS(F27)&lt;=MAX(H27*ABS(D27),I27),"OK","NO")</f>
        <v/>
      </c>
      <c r="K27" s="17" t="inlineStr">
        <is>
          <t>Fórmula</t>
        </is>
      </c>
      <c r="L27" s="9" t="inlineStr">
        <is>
          <t>12*E*I*D1/L1^3/1000</t>
        </is>
      </c>
      <c r="M27" s="9" t="inlineStr">
        <is>
          <t>Reacción Fz en el nudo 1 · combinación «C1: asentamiento»</t>
        </is>
      </c>
      <c r="N27" s="9" t="inlineStr">
        <is>
          <t>Se comparan valores absolutos (la convención de signo es independiente del resultado).</t>
        </is>
      </c>
    </row>
    <row r="28" ht="28" customHeight="1">
      <c r="A28" s="17" t="n">
        <v>5</v>
      </c>
      <c r="B28" s="8" t="inlineStr">
        <is>
          <t>(1) Desplazamiento impuesto del apoyo derecho</t>
        </is>
      </c>
      <c r="C28" s="17" t="inlineStr">
        <is>
          <t>mm</t>
        </is>
      </c>
      <c r="D28" s="26">
        <f>-$D$11</f>
        <v/>
      </c>
      <c r="E28" s="25" t="n">
        <v>-10</v>
      </c>
      <c r="F28" s="27">
        <f>E28-D28</f>
        <v/>
      </c>
      <c r="G28" s="28">
        <f>IF(ABS(D28)&gt;0.000000000001,F28/D28,"—")</f>
        <v/>
      </c>
      <c r="H28" s="29" t="n">
        <v>0.0001</v>
      </c>
      <c r="I28" s="30" t="n">
        <v>1e-06</v>
      </c>
      <c r="J28" s="31">
        <f>IF(ABS(F28)&lt;=MAX(H28*ABS(D28),I28),"OK","NO")</f>
        <v/>
      </c>
      <c r="K28" s="17" t="inlineStr">
        <is>
          <t>Fórmula</t>
        </is>
      </c>
      <c r="L28" s="9" t="inlineStr">
        <is>
          <t>-D1</t>
        </is>
      </c>
      <c r="M28" s="9" t="inlineStr">
        <is>
          <t>Desplazamiento Uz del nudo 2 · combinación «C1: asentamiento»</t>
        </is>
      </c>
      <c r="N28" s="9" t="inlineStr"/>
    </row>
    <row r="29" ht="16" customHeight="1">
      <c r="A29" s="17" t="n">
        <v>6</v>
      </c>
      <c r="B29" s="8" t="inlineStr">
        <is>
          <t>(2) Reacción en el apoyo central = 6EIδ/L³</t>
        </is>
      </c>
      <c r="C29" s="17" t="inlineStr">
        <is>
          <t>kN</t>
        </is>
      </c>
      <c r="D29" s="26">
        <f>ABS(6*$D$8*$D$9*$D$13/$D$12^3/1000)</f>
        <v/>
      </c>
      <c r="E29" s="25" t="n">
        <v>2.7979200027</v>
      </c>
      <c r="F29" s="27">
        <f>E29-D29</f>
        <v/>
      </c>
      <c r="G29" s="28">
        <f>IF(ABS(D29)&gt;0.000000000001,F29/D29,"—")</f>
        <v/>
      </c>
      <c r="H29" s="29" t="n">
        <v>0.0001</v>
      </c>
      <c r="I29" s="30" t="n">
        <v>1e-06</v>
      </c>
      <c r="J29" s="31">
        <f>IF(ABS(F29)&lt;=MAX(H29*ABS(D29),I29),"OK","NO")</f>
        <v/>
      </c>
      <c r="K29" s="17" t="inlineStr">
        <is>
          <t>Fórmula</t>
        </is>
      </c>
      <c r="L29" s="9" t="inlineStr">
        <is>
          <t>6*E*I*D2/L2^3/1000</t>
        </is>
      </c>
      <c r="M29" s="9" t="inlineStr">
        <is>
          <t>Reacción Fz en el nudo 4 · combinación «C1: asentamiento»</t>
        </is>
      </c>
      <c r="N29" s="9" t="inlineStr">
        <is>
          <t>Se comparan valores absolutos (la convención de signo es independiente del resultado).</t>
        </is>
      </c>
    </row>
    <row r="30" ht="16" customHeight="1">
      <c r="A30" s="17" t="n">
        <v>7</v>
      </c>
      <c r="B30" s="8" t="inlineStr">
        <is>
          <t>(2) Reacción en un apoyo extremo = 3EIδ/L³</t>
        </is>
      </c>
      <c r="C30" s="17" t="inlineStr">
        <is>
          <t>kN</t>
        </is>
      </c>
      <c r="D30" s="26">
        <f>ABS(3*$D$8*$D$9*$D$13/$D$12^3/1000)</f>
        <v/>
      </c>
      <c r="E30" s="25" t="n">
        <v>1.39896000135</v>
      </c>
      <c r="F30" s="27">
        <f>E30-D30</f>
        <v/>
      </c>
      <c r="G30" s="28">
        <f>IF(ABS(D30)&gt;0.000000000001,F30/D30,"—")</f>
        <v/>
      </c>
      <c r="H30" s="29" t="n">
        <v>0.0001</v>
      </c>
      <c r="I30" s="30" t="n">
        <v>1e-06</v>
      </c>
      <c r="J30" s="31">
        <f>IF(ABS(F30)&lt;=MAX(H30*ABS(D30),I30),"OK","NO")</f>
        <v/>
      </c>
      <c r="K30" s="17" t="inlineStr">
        <is>
          <t>Fórmula</t>
        </is>
      </c>
      <c r="L30" s="9" t="inlineStr">
        <is>
          <t>3*E*I*D2/L2^3/1000</t>
        </is>
      </c>
      <c r="M30" s="9" t="inlineStr">
        <is>
          <t>Reacción Fz en el nudo 3 · combinación «C1: asentamiento»</t>
        </is>
      </c>
      <c r="N30" s="9" t="inlineStr">
        <is>
          <t>Se comparan valores absolutos (la convención de signo es independiente del resultado).</t>
        </is>
      </c>
    </row>
    <row r="31" ht="28" customHeight="1">
      <c r="A31" s="17" t="n">
        <v>8</v>
      </c>
      <c r="B31" s="8" t="inlineStr">
        <is>
          <t>(2) Momento sobre el apoyo central = 3EIδ/L²</t>
        </is>
      </c>
      <c r="C31" s="17" t="inlineStr">
        <is>
          <t>kN·m</t>
        </is>
      </c>
      <c r="D31" s="26">
        <f>ABS(3*$D$8*$D$9*$D$13/$D$12^2/1000000)</f>
        <v/>
      </c>
      <c r="E31" s="25" t="n">
        <v>6.994800002250001</v>
      </c>
      <c r="F31" s="27">
        <f>E31-D31</f>
        <v/>
      </c>
      <c r="G31" s="28">
        <f>IF(ABS(D31)&gt;0.000000000001,F31/D31,"—")</f>
        <v/>
      </c>
      <c r="H31" s="29" t="n">
        <v>0.0001</v>
      </c>
      <c r="I31" s="30" t="n">
        <v>1e-06</v>
      </c>
      <c r="J31" s="31">
        <f>IF(ABS(F31)&lt;=MAX(H31*ABS(D31),I31),"OK","NO")</f>
        <v/>
      </c>
      <c r="K31" s="17" t="inlineStr">
        <is>
          <t>Fórmula</t>
        </is>
      </c>
      <c r="L31" s="9" t="inlineStr">
        <is>
          <t>3*E*I*D2/L2^2/1000000</t>
        </is>
      </c>
      <c r="M31" s="9" t="inlineStr">
        <is>
          <t>Barra 2, en x = 1·L, momento flector Mz (eje fuerte) · combinación «C1: asentamiento»</t>
        </is>
      </c>
      <c r="N31" s="9" t="inlineStr">
        <is>
          <t>Se comparan valores absolutos (la convención de signo es independiente del resultado).</t>
        </is>
      </c>
    </row>
    <row r="32" ht="28" customHeight="1">
      <c r="A32" s="17" t="n">
        <v>9</v>
      </c>
      <c r="B32" s="8" t="inlineStr">
        <is>
          <t>(3) Desplazamiento del extremo = ks·s/(ks + 3EI/L³)</t>
        </is>
      </c>
      <c r="C32" s="17" t="inlineStr">
        <is>
          <t>mm</t>
        </is>
      </c>
      <c r="D32" s="26">
        <f>-$D$15*$D$16/($D$15+$D$17)</f>
        <v/>
      </c>
      <c r="E32" s="25" t="n">
        <v>-9.617953510333892</v>
      </c>
      <c r="F32" s="27">
        <f>E32-D32</f>
        <v/>
      </c>
      <c r="G32" s="28">
        <f>IF(ABS(D32)&gt;0.000000000001,F32/D32,"—")</f>
        <v/>
      </c>
      <c r="H32" s="29" t="n">
        <v>0.0001</v>
      </c>
      <c r="I32" s="30" t="n">
        <v>1e-06</v>
      </c>
      <c r="J32" s="31">
        <f>IF(ABS(F32)&lt;=MAX(H32*ABS(D32),I32),"OK","NO")</f>
        <v/>
      </c>
      <c r="K32" s="17" t="inlineStr">
        <is>
          <t>Fórmula</t>
        </is>
      </c>
      <c r="L32" s="9" t="inlineStr">
        <is>
          <t>-ks3*D3/(ks3+kb3)</t>
        </is>
      </c>
      <c r="M32" s="9" t="inlineStr">
        <is>
          <t>Desplazamiento Uz del nudo 7 · combinación «C1: asentamiento»</t>
        </is>
      </c>
      <c r="N32" s="9" t="inlineStr"/>
    </row>
    <row r="33" ht="16" customHeight="1">
      <c r="A33" s="17" t="n">
        <v>10</v>
      </c>
      <c r="B33" s="8" t="inlineStr">
        <is>
          <t>(3) Momento de empotramiento = kb·δ·L</t>
        </is>
      </c>
      <c r="C33" s="17" t="inlineStr">
        <is>
          <t>kN·m</t>
        </is>
      </c>
      <c r="D33" s="26">
        <f>ABS($D$17*$D$15*$D$16/($D$15+$D$17)*$D$14/1000000)</f>
        <v/>
      </c>
      <c r="E33" s="25" t="n">
        <v>12.45845578279033</v>
      </c>
      <c r="F33" s="27">
        <f>E33-D33</f>
        <v/>
      </c>
      <c r="G33" s="28">
        <f>IF(ABS(D33)&gt;0.000000000001,F33/D33,"—")</f>
        <v/>
      </c>
      <c r="H33" s="29" t="n">
        <v>0.0001</v>
      </c>
      <c r="I33" s="30" t="n">
        <v>1e-06</v>
      </c>
      <c r="J33" s="31">
        <f>IF(ABS(F33)&lt;=MAX(H33*ABS(D33),I33),"OK","NO")</f>
        <v/>
      </c>
      <c r="K33" s="17" t="inlineStr">
        <is>
          <t>Fórmula</t>
        </is>
      </c>
      <c r="L33" s="9" t="inlineStr">
        <is>
          <t>kb3*ks3*D3/(ks3+kb3)*L3/1000000</t>
        </is>
      </c>
      <c r="M33" s="9" t="inlineStr">
        <is>
          <t>Reacción My en el nudo 6 · combinación «C1: asentamiento»</t>
        </is>
      </c>
      <c r="N33" s="9" t="inlineStr">
        <is>
          <t>Se comparan valores absolutos (la convención de signo es independiente del resultado).</t>
        </is>
      </c>
    </row>
    <row r="34" ht="28" customHeight="1">
      <c r="A34" s="17" t="n">
        <v>11</v>
      </c>
      <c r="B34" s="8" t="inlineStr">
        <is>
          <t>(4) Momento en el empotramiento con giro impuesto = 4EIθ/L</t>
        </is>
      </c>
      <c r="C34" s="17" t="inlineStr">
        <is>
          <t>kN·m</t>
        </is>
      </c>
      <c r="D34" s="26">
        <f>ABS(4*$D$8*$D$9*$D$20/$D$18/1000000)</f>
        <v/>
      </c>
      <c r="E34" s="25" t="n">
        <v>19.42999999999999</v>
      </c>
      <c r="F34" s="27">
        <f>E34-D34</f>
        <v/>
      </c>
      <c r="G34" s="28">
        <f>IF(ABS(D34)&gt;0.000000000001,F34/D34,"—")</f>
        <v/>
      </c>
      <c r="H34" s="29" t="n">
        <v>0.0001</v>
      </c>
      <c r="I34" s="30" t="n">
        <v>1e-06</v>
      </c>
      <c r="J34" s="31">
        <f>IF(ABS(F34)&lt;=MAX(H34*ABS(D34),I34),"OK","NO")</f>
        <v/>
      </c>
      <c r="K34" s="17" t="inlineStr">
        <is>
          <t>Fórmula</t>
        </is>
      </c>
      <c r="L34" s="9" t="inlineStr">
        <is>
          <t>4*E*I*th4/L4/1000000</t>
        </is>
      </c>
      <c r="M34" s="9" t="inlineStr">
        <is>
          <t>Barra 5, en x = 0·L, momento flector Mz (eje fuerte) · combinación «C1: asentamiento»</t>
        </is>
      </c>
      <c r="N34" s="9" t="inlineStr">
        <is>
          <t>Se comparan valores absolutos (la convención de signo es independiente del resultado).</t>
        </is>
      </c>
    </row>
    <row r="35" ht="28" customHeight="1">
      <c r="A35" s="17" t="n">
        <v>12</v>
      </c>
      <c r="B35" s="8" t="inlineStr">
        <is>
          <t>(4) Momento en el otro empotramiento = 2EIθ/L</t>
        </is>
      </c>
      <c r="C35" s="17" t="inlineStr">
        <is>
          <t>kN·m</t>
        </is>
      </c>
      <c r="D35" s="26">
        <f>ABS(2*$D$8*$D$9*$D$20/$D$18/1000000)</f>
        <v/>
      </c>
      <c r="E35" s="25" t="n">
        <v>9.714999999999993</v>
      </c>
      <c r="F35" s="27">
        <f>E35-D35</f>
        <v/>
      </c>
      <c r="G35" s="28">
        <f>IF(ABS(D35)&gt;0.000000000001,F35/D35,"—")</f>
        <v/>
      </c>
      <c r="H35" s="29" t="n">
        <v>0.0001</v>
      </c>
      <c r="I35" s="30" t="n">
        <v>1e-06</v>
      </c>
      <c r="J35" s="31">
        <f>IF(ABS(F35)&lt;=MAX(H35*ABS(D35),I35),"OK","NO")</f>
        <v/>
      </c>
      <c r="K35" s="17" t="inlineStr">
        <is>
          <t>Fórmula</t>
        </is>
      </c>
      <c r="L35" s="9" t="inlineStr">
        <is>
          <t>2*E*I*th4/L4/1000000</t>
        </is>
      </c>
      <c r="M35" s="9" t="inlineStr">
        <is>
          <t>Barra 5, en x = 1·L, momento flector Mz (eje fuerte) · combinación «C1: asentamiento»</t>
        </is>
      </c>
      <c r="N35" s="9" t="inlineStr">
        <is>
          <t>Se comparan valores absolutos (la convención de signo es independiente del resultado).</t>
        </is>
      </c>
    </row>
    <row r="36" ht="28" customHeight="1">
      <c r="A36" s="17" t="n">
        <v>13</v>
      </c>
      <c r="B36" s="8" t="inlineStr">
        <is>
          <t>(4) Corte constante = 6EIθ/L²</t>
        </is>
      </c>
      <c r="C36" s="17" t="inlineStr">
        <is>
          <t>kN</t>
        </is>
      </c>
      <c r="D36" s="26">
        <f>ABS(6*$D$8*$D$9*$D$20/$D$18^2/1000)</f>
        <v/>
      </c>
      <c r="E36" s="25" t="n">
        <v>7.286249999999996</v>
      </c>
      <c r="F36" s="27">
        <f>E36-D36</f>
        <v/>
      </c>
      <c r="G36" s="28">
        <f>IF(ABS(D36)&gt;0.000000000001,F36/D36,"—")</f>
        <v/>
      </c>
      <c r="H36" s="29" t="n">
        <v>0.0001</v>
      </c>
      <c r="I36" s="30" t="n">
        <v>1e-06</v>
      </c>
      <c r="J36" s="31">
        <f>IF(ABS(F36)&lt;=MAX(H36*ABS(D36),I36),"OK","NO")</f>
        <v/>
      </c>
      <c r="K36" s="17" t="inlineStr">
        <is>
          <t>Fórmula</t>
        </is>
      </c>
      <c r="L36" s="9" t="inlineStr">
        <is>
          <t>6*E*I*th4/L4^2/1000</t>
        </is>
      </c>
      <c r="M36" s="9" t="inlineStr">
        <is>
          <t>Barra 5, en x = 0.5·L, corte Vy (en el plano del alma) · combinación «C1: asentamiento»</t>
        </is>
      </c>
      <c r="N36" s="9" t="inlineStr">
        <is>
          <t>Se comparan valores absolutos (la convención de signo es independiente del resultado).</t>
        </is>
      </c>
    </row>
    <row r="37" ht="28" customHeight="1">
      <c r="A37" s="17" t="n">
        <v>14</v>
      </c>
      <c r="B37" s="8" t="inlineStr">
        <is>
          <t>(4) Giro impuesto del nudo</t>
        </is>
      </c>
      <c r="C37" s="17" t="inlineStr">
        <is>
          <t>rad</t>
        </is>
      </c>
      <c r="D37" s="33">
        <f>ABS($D$20)</f>
        <v/>
      </c>
      <c r="E37" s="34" t="n">
        <v>0.005</v>
      </c>
      <c r="F37" s="27">
        <f>E37-D37</f>
        <v/>
      </c>
      <c r="G37" s="28">
        <f>IF(ABS(D37)&gt;0.000000000001,F37/D37,"—")</f>
        <v/>
      </c>
      <c r="H37" s="29" t="n">
        <v>0.0001</v>
      </c>
      <c r="I37" s="30" t="n">
        <v>1e-06</v>
      </c>
      <c r="J37" s="31">
        <f>IF(ABS(F37)&lt;=MAX(H37*ABS(D37),I37),"OK","NO")</f>
        <v/>
      </c>
      <c r="K37" s="17" t="inlineStr">
        <is>
          <t>Fórmula</t>
        </is>
      </c>
      <c r="L37" s="9" t="inlineStr">
        <is>
          <t>th4</t>
        </is>
      </c>
      <c r="M37" s="9" t="inlineStr">
        <is>
          <t>Desplazamiento Ry del nudo 8 · combinación «C1: asentamiento»</t>
        </is>
      </c>
      <c r="N37" s="9" t="inlineStr">
        <is>
          <t>Se comparan valores absolutos (la convención de signo es independiente del resultado).</t>
        </is>
      </c>
    </row>
    <row r="39">
      <c r="B39" s="4" t="inlineStr">
        <is>
          <t>Comprobaciones dentro de tolerancia</t>
        </is>
      </c>
      <c r="D39" s="4">
        <f>COUNTIF(J24:J37,"OK")</f>
        <v/>
      </c>
      <c r="E39" s="4">
        <f>ROWS(J24:J37)</f>
        <v/>
      </c>
      <c r="F39" s="4">
        <f>IF(D39=E39,"VERIFICA","DIFIERE")</f>
        <v/>
      </c>
    </row>
    <row r="40">
      <c r="B40" s="2" t="inlineStr">
        <is>
          <t>Azul = dato ingresado o valor que entregó el programa (pegado); negro = fórmula de Excel. El valor «Programa» es el resultado del motor de cálculo de la app para el mismo modelo.</t>
        </is>
      </c>
    </row>
  </sheetData>
  <mergeCells count="2">
    <mergeCell ref="A3:L3"/>
    <mergeCell ref="A4:L4"/>
  </mergeCells>
  <conditionalFormatting sqref="J24:J37">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36.xml><?xml version="1.0" encoding="utf-8"?>
<worksheet xmlns="http://schemas.openxmlformats.org/spreadsheetml/2006/main">
  <sheetPr>
    <outlinePr summaryBelow="1" summaryRight="1"/>
    <pageSetUpPr fitToPage="1"/>
  </sheetPr>
  <dimension ref="A1:N34"/>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N07 · Uniones semirrígidas (resorte de giro en el extremo de la barra)</t>
        </is>
      </c>
    </row>
    <row r="2">
      <c r="A2" s="2" t="inlineStr">
        <is>
          <t>Solución clásica.  Fuente: Soluciones clásicas: Timoshenko «Resistencia de materiales» y «Theory of Elastic Stability» (Timoshenko &amp; Gere), Roark «Formulas for Stress and Strain», método de pendiente-deflexión, Ghali &amp; Neville «Structural Analysis» (efectos térmicos y asentamientos)</t>
        </is>
      </c>
    </row>
    <row r="3" ht="40.5" customHeight="1">
      <c r="A3" s="14" t="inlineStr">
        <is>
          <t>Enunciado. Viga IPE 300 de 6,00 m con carga uniforme de 20 kN/m, unida por resortes de giro a nudos empotrados. (1) Resortes iguales en ambos extremos con kθ = 2EI/L: el momento de unión es (wL²/12)·kθL/(kθL + 2EI) = wL²/24, la flecha central 5wL⁴/(384EI) − M·L²/(8EI) y el giro relativo de la unión M/kθ. (2) Lo mismo con kθ = 10EI/L. (3) Resorte kθ = 4EI/L en un extremo y empotramiento rígido en el otro: M_i = (wL²/12)·kθ/(kθ + 4EI/L) y M_j = (wL²/12)·(kθ + 6EI/L)/(kθ + 4EI/L).</t>
        </is>
      </c>
    </row>
    <row r="4" ht="28" customHeight="1">
      <c r="A4" s="14" t="inlineStr">
        <is>
          <t>Perfil. IPE 300 (tabla): Ix = 8 356 cm⁴.</t>
        </is>
      </c>
    </row>
    <row r="6">
      <c r="A6" s="22" t="inlineStr">
        <is>
          <t>DATOS DEL EJERCICIO</t>
        </is>
      </c>
      <c r="B6" s="22" t="n"/>
      <c r="C6" s="22" t="n"/>
      <c r="D6" s="22" t="n"/>
      <c r="E6" s="22" t="n"/>
      <c r="F6" s="22" t="n"/>
      <c r="G6" s="22" t="n"/>
      <c r="H6" s="22" t="n"/>
      <c r="I6" s="22" t="n"/>
      <c r="J6" s="22" t="n"/>
      <c r="K6" s="22" t="n"/>
      <c r="L6" s="22" t="n"/>
      <c r="M6" s="22" t="n"/>
      <c r="N6" s="22" t="n"/>
    </row>
    <row r="7">
      <c r="A7" s="5" t="inlineStr">
        <is>
          <t>#</t>
        </is>
      </c>
      <c r="B7" s="5" t="inlineStr">
        <is>
          <t>Dato</t>
        </is>
      </c>
      <c r="C7" s="5" t="inlineStr">
        <is>
          <t>Unidad</t>
        </is>
      </c>
      <c r="D7" s="5" t="inlineStr">
        <is>
          <t>Valor</t>
        </is>
      </c>
      <c r="K7" s="5" t="inlineStr">
        <is>
          <t>Símbolo</t>
        </is>
      </c>
      <c r="L7" s="5" t="inlineStr">
        <is>
          <t>Fórmula (texto)</t>
        </is>
      </c>
    </row>
    <row r="8">
      <c r="A8" s="17" t="n">
        <v>1</v>
      </c>
      <c r="B8" s="8" t="inlineStr">
        <is>
          <t>Módulo elástico</t>
        </is>
      </c>
      <c r="C8" s="17" t="inlineStr">
        <is>
          <t>MPa</t>
        </is>
      </c>
      <c r="D8" s="23" t="n">
        <v>200000</v>
      </c>
      <c r="K8" s="17" t="inlineStr">
        <is>
          <t>E</t>
        </is>
      </c>
      <c r="L8" s="24" t="inlineStr">
        <is>
          <t>dato ingresado</t>
        </is>
      </c>
    </row>
    <row r="9">
      <c r="A9" s="17" t="n">
        <v>2</v>
      </c>
      <c r="B9" s="8" t="inlineStr">
        <is>
          <t>Ix IPE 300</t>
        </is>
      </c>
      <c r="C9" s="17" t="inlineStr">
        <is>
          <t>mm⁴</t>
        </is>
      </c>
      <c r="D9" s="35" t="n">
        <v>83560000</v>
      </c>
      <c r="K9" s="17" t="inlineStr">
        <is>
          <t>I</t>
        </is>
      </c>
      <c r="L9" s="24" t="inlineStr">
        <is>
          <t>dato ingresado</t>
        </is>
      </c>
    </row>
    <row r="10">
      <c r="A10" s="17" t="n">
        <v>3</v>
      </c>
      <c r="B10" s="8" t="inlineStr">
        <is>
          <t>Luz</t>
        </is>
      </c>
      <c r="C10" s="17" t="inlineStr">
        <is>
          <t>mm</t>
        </is>
      </c>
      <c r="D10" s="23" t="n">
        <v>6000</v>
      </c>
      <c r="K10" s="17" t="inlineStr">
        <is>
          <t>L</t>
        </is>
      </c>
      <c r="L10" s="24" t="inlineStr">
        <is>
          <t>dato ingresado</t>
        </is>
      </c>
    </row>
    <row r="11">
      <c r="A11" s="17" t="n">
        <v>4</v>
      </c>
      <c r="B11" s="8" t="inlineStr">
        <is>
          <t>Carga uniforme</t>
        </is>
      </c>
      <c r="C11" s="17" t="inlineStr">
        <is>
          <t>kN/m</t>
        </is>
      </c>
      <c r="D11" s="25" t="n">
        <v>20</v>
      </c>
      <c r="K11" s="17" t="inlineStr">
        <is>
          <t>w</t>
        </is>
      </c>
      <c r="L11" s="24" t="inlineStr">
        <is>
          <t>dato ingresado</t>
        </is>
      </c>
    </row>
    <row r="12">
      <c r="A12" s="17" t="n">
        <v>5</v>
      </c>
      <c r="B12" s="8" t="inlineStr">
        <is>
          <t>Rigidez a flexión</t>
        </is>
      </c>
      <c r="C12" s="17" t="inlineStr">
        <is>
          <t>N·mm²</t>
        </is>
      </c>
      <c r="D12" s="27">
        <f>$D$8*$D$9</f>
        <v/>
      </c>
      <c r="K12" s="17" t="inlineStr">
        <is>
          <t>EI</t>
        </is>
      </c>
      <c r="L12" s="24" t="inlineStr">
        <is>
          <t>valor = E*I</t>
        </is>
      </c>
    </row>
    <row r="13">
      <c r="A13" s="17" t="n">
        <v>6</v>
      </c>
      <c r="B13" s="8" t="inlineStr">
        <is>
          <t>Resorte del caso (1): 2EI/L</t>
        </is>
      </c>
      <c r="C13" s="17" t="inlineStr">
        <is>
          <t>kN·m/rad</t>
        </is>
      </c>
      <c r="D13" s="38">
        <f>2*$D$12/$D$10/1000000</f>
        <v/>
      </c>
      <c r="K13" s="17" t="inlineStr">
        <is>
          <t>k1</t>
        </is>
      </c>
      <c r="L13" s="24" t="inlineStr">
        <is>
          <t>valor = 2*EI/L/1000000</t>
        </is>
      </c>
    </row>
    <row r="14">
      <c r="A14" s="17" t="n">
        <v>7</v>
      </c>
      <c r="B14" s="8" t="inlineStr">
        <is>
          <t>Resorte del caso (2): 10EI/L</t>
        </is>
      </c>
      <c r="C14" s="17" t="inlineStr">
        <is>
          <t>kN·m/rad</t>
        </is>
      </c>
      <c r="D14" s="38">
        <f>10*$D$12/$D$10/1000000</f>
        <v/>
      </c>
      <c r="K14" s="17" t="inlineStr">
        <is>
          <t>k2</t>
        </is>
      </c>
      <c r="L14" s="24" t="inlineStr">
        <is>
          <t>valor = 10*EI/L/1000000</t>
        </is>
      </c>
    </row>
    <row r="15">
      <c r="A15" s="17" t="n">
        <v>8</v>
      </c>
      <c r="B15" s="8" t="inlineStr">
        <is>
          <t>Resorte del caso (3): 4EI/L</t>
        </is>
      </c>
      <c r="C15" s="17" t="inlineStr">
        <is>
          <t>kN·m/rad</t>
        </is>
      </c>
      <c r="D15" s="38">
        <f>4*$D$12/$D$10/1000000</f>
        <v/>
      </c>
      <c r="K15" s="17" t="inlineStr">
        <is>
          <t>k3</t>
        </is>
      </c>
      <c r="L15" s="24" t="inlineStr">
        <is>
          <t>valor = 4*EI/L/1000000</t>
        </is>
      </c>
    </row>
    <row r="16">
      <c r="A16" s="17" t="n">
        <v>9</v>
      </c>
      <c r="B16" s="8" t="inlineStr">
        <is>
          <t>Momento de unión, caso (1)</t>
        </is>
      </c>
      <c r="C16" s="17" t="inlineStr">
        <is>
          <t>N·mm</t>
        </is>
      </c>
      <c r="D16" s="27">
        <f>$D$11*$D$10^2/12*($D$13*1000000*$D$10)/($D$13*1000000*$D$10+2*$D$12)</f>
        <v/>
      </c>
      <c r="K16" s="17" t="inlineStr">
        <is>
          <t>M1</t>
        </is>
      </c>
      <c r="L16" s="24" t="inlineStr">
        <is>
          <t>valor = w*L^2/12*(k1*1000000*L)/(k1*1000000*L+2*EI)</t>
        </is>
      </c>
    </row>
    <row r="17">
      <c r="A17" s="17" t="n">
        <v>10</v>
      </c>
      <c r="B17" s="8" t="inlineStr">
        <is>
          <t>Momento de unión, caso (2)</t>
        </is>
      </c>
      <c r="C17" s="17" t="inlineStr">
        <is>
          <t>N·mm</t>
        </is>
      </c>
      <c r="D17" s="27">
        <f>$D$11*$D$10^2/12*($D$14*1000000*$D$10)/($D$14*1000000*$D$10+2*$D$12)</f>
        <v/>
      </c>
      <c r="K17" s="17" t="inlineStr">
        <is>
          <t>M2</t>
        </is>
      </c>
      <c r="L17" s="24" t="inlineStr">
        <is>
          <t>valor = w*L^2/12*(k2*1000000*L)/(k2*1000000*L+2*EI)</t>
        </is>
      </c>
    </row>
    <row r="18">
      <c r="A18" s="17" t="n">
        <v>11</v>
      </c>
      <c r="B18" s="8" t="inlineStr">
        <is>
          <t>Momento en la unión elástica, caso (3)</t>
        </is>
      </c>
      <c r="C18" s="17" t="inlineStr">
        <is>
          <t>N·mm</t>
        </is>
      </c>
      <c r="D18" s="27">
        <f>$D$11*$D$10^2/12*($D$15*1000000)/($D$15*1000000+4*$D$12/$D$10)</f>
        <v/>
      </c>
      <c r="K18" s="17" t="inlineStr">
        <is>
          <t>M3</t>
        </is>
      </c>
      <c r="L18" s="24" t="inlineStr">
        <is>
          <t>valor = w*L^2/12*(k3*1000000)/(k3*1000000+4*EI/L)</t>
        </is>
      </c>
    </row>
    <row r="19">
      <c r="A19" s="17" t="n">
        <v>12</v>
      </c>
      <c r="B19" s="8" t="inlineStr">
        <is>
          <t>Momento en el empotramiento, caso (3)</t>
        </is>
      </c>
      <c r="C19" s="17" t="inlineStr">
        <is>
          <t>N·mm</t>
        </is>
      </c>
      <c r="D19" s="27">
        <f>$D$11*$D$10^2/12*($D$15*1000000+6*$D$12/$D$10)/($D$15*1000000+4*$D$12/$D$10)</f>
        <v/>
      </c>
      <c r="K19" s="17" t="inlineStr">
        <is>
          <t>M3j</t>
        </is>
      </c>
      <c r="L19" s="24" t="inlineStr">
        <is>
          <t>valor = w*L^2/12*(k3*1000000+6*EI/L)/(k3*1000000+4*EI/L)</t>
        </is>
      </c>
    </row>
    <row r="21">
      <c r="A21" s="22" t="inlineStr">
        <is>
          <t>COMPARACIÓN: TEORÍA / DATO PUBLICADO  vs  PROGRAMA (Atlas Estructuras 3D)</t>
        </is>
      </c>
      <c r="B21" s="22" t="n"/>
      <c r="C21" s="22" t="n"/>
      <c r="D21" s="22" t="n"/>
      <c r="E21" s="22" t="n"/>
      <c r="F21" s="22" t="n"/>
      <c r="G21" s="22" t="n"/>
      <c r="H21" s="22" t="n"/>
      <c r="I21" s="22" t="n"/>
      <c r="J21" s="22" t="n"/>
      <c r="K21" s="22" t="n"/>
      <c r="L21" s="22" t="n"/>
      <c r="M21" s="22" t="n"/>
      <c r="N21" s="22" t="n"/>
    </row>
    <row r="22" ht="30" customHeight="1">
      <c r="A22" s="5" t="inlineStr">
        <is>
          <t>#</t>
        </is>
      </c>
      <c r="B22" s="5" t="inlineStr">
        <is>
          <t>Comprobación</t>
        </is>
      </c>
      <c r="C22" s="5" t="inlineStr">
        <is>
          <t>Unidad</t>
        </is>
      </c>
      <c r="D22" s="5" t="inlineStr">
        <is>
          <t>Teoría / publicado</t>
        </is>
      </c>
      <c r="E22" s="5" t="inlineStr">
        <is>
          <t>Programa</t>
        </is>
      </c>
      <c r="F22" s="5" t="inlineStr">
        <is>
          <t>Diferencia (prog. − teoría)</t>
        </is>
      </c>
      <c r="G22" s="5" t="inlineStr">
        <is>
          <t>Error relativo</t>
        </is>
      </c>
      <c r="H22" s="5" t="inlineStr">
        <is>
          <t>Tol. relativa</t>
        </is>
      </c>
      <c r="I22" s="5" t="inlineStr">
        <is>
          <t>Tol. absoluta</t>
        </is>
      </c>
      <c r="J22" s="5" t="inlineStr">
        <is>
          <t>Estado</t>
        </is>
      </c>
      <c r="K22" s="5" t="inlineStr">
        <is>
          <t>Origen</t>
        </is>
      </c>
      <c r="L22" s="5" t="inlineStr">
        <is>
          <t>Expresión de la teoría (texto)</t>
        </is>
      </c>
      <c r="M22" s="5" t="inlineStr">
        <is>
          <t>Dónde se lee en el programa</t>
        </is>
      </c>
      <c r="N22" s="5" t="inlineStr">
        <is>
          <t>Nota</t>
        </is>
      </c>
    </row>
    <row r="23" ht="28" customHeight="1">
      <c r="A23" s="17" t="n">
        <v>1</v>
      </c>
      <c r="B23" s="8" t="inlineStr">
        <is>
          <t>(1) Momento en la unión (extremo i)</t>
        </is>
      </c>
      <c r="C23" s="17" t="inlineStr">
        <is>
          <t>kN·m</t>
        </is>
      </c>
      <c r="D23" s="26">
        <f>ABS($D$16/1000000)</f>
        <v/>
      </c>
      <c r="E23" s="25" t="n">
        <v>29.99999999999999</v>
      </c>
      <c r="F23" s="27">
        <f>E23-D23</f>
        <v/>
      </c>
      <c r="G23" s="28">
        <f>IF(ABS(D23)&gt;0.000000000001,F23/D23,"—")</f>
        <v/>
      </c>
      <c r="H23" s="29" t="n">
        <v>0.0001</v>
      </c>
      <c r="I23" s="30" t="n">
        <v>1e-06</v>
      </c>
      <c r="J23" s="31">
        <f>IF(ABS(F23)&lt;=MAX(H23*ABS(D23),I23),"OK","NO")</f>
        <v/>
      </c>
      <c r="K23" s="17" t="inlineStr">
        <is>
          <t>Fórmula</t>
        </is>
      </c>
      <c r="L23" s="9" t="inlineStr">
        <is>
          <t>M1/1000000</t>
        </is>
      </c>
      <c r="M23" s="9" t="inlineStr">
        <is>
          <t>Barra 1, en x = 0·L, momento flector Mz (eje fuerte) · combinación «C1: 1,0·D»</t>
        </is>
      </c>
      <c r="N23" s="9" t="inlineStr">
        <is>
          <t>Se comparan valores absolutos (la convención de signo es independiente del resultado).</t>
        </is>
      </c>
    </row>
    <row r="24" ht="28" customHeight="1">
      <c r="A24" s="17" t="n">
        <v>2</v>
      </c>
      <c r="B24" s="8" t="inlineStr">
        <is>
          <t>(1) Momento a media luz = wL²/8 − M</t>
        </is>
      </c>
      <c r="C24" s="17" t="inlineStr">
        <is>
          <t>kN·m</t>
        </is>
      </c>
      <c r="D24" s="26">
        <f>ABS(($D$11*$D$10^2/8-$D$16)/1000000)</f>
        <v/>
      </c>
      <c r="E24" s="25" t="n">
        <v>60.00000000000003</v>
      </c>
      <c r="F24" s="27">
        <f>E24-D24</f>
        <v/>
      </c>
      <c r="G24" s="28">
        <f>IF(ABS(D24)&gt;0.000000000001,F24/D24,"—")</f>
        <v/>
      </c>
      <c r="H24" s="29" t="n">
        <v>0.0001</v>
      </c>
      <c r="I24" s="30" t="n">
        <v>1e-06</v>
      </c>
      <c r="J24" s="31">
        <f>IF(ABS(F24)&lt;=MAX(H24*ABS(D24),I24),"OK","NO")</f>
        <v/>
      </c>
      <c r="K24" s="17" t="inlineStr">
        <is>
          <t>Fórmula</t>
        </is>
      </c>
      <c r="L24" s="9" t="inlineStr">
        <is>
          <t>(w*L^2/8-M1)/1000000</t>
        </is>
      </c>
      <c r="M24" s="9" t="inlineStr">
        <is>
          <t>Barra 1, en x = 0.5·L, momento flector Mz (eje fuerte) · combinación «C1: 1,0·D»</t>
        </is>
      </c>
      <c r="N24" s="9" t="inlineStr">
        <is>
          <t>Se comparan valores absolutos (la convención de signo es independiente del resultado).</t>
        </is>
      </c>
    </row>
    <row r="25" ht="28" customHeight="1">
      <c r="A25" s="17" t="n">
        <v>3</v>
      </c>
      <c r="B25" s="8" t="inlineStr">
        <is>
          <t>(1) Flecha central</t>
        </is>
      </c>
      <c r="C25" s="17" t="inlineStr">
        <is>
          <t>mm</t>
        </is>
      </c>
      <c r="D25" s="26">
        <f>-(5*$D$11*$D$10^4/384-$D$16*$D$10^2/8)/$D$12</f>
        <v/>
      </c>
      <c r="E25" s="25" t="n">
        <v>-12.11704164672092</v>
      </c>
      <c r="F25" s="27">
        <f>E25-D25</f>
        <v/>
      </c>
      <c r="G25" s="28">
        <f>IF(ABS(D25)&gt;0.000000000001,F25/D25,"—")</f>
        <v/>
      </c>
      <c r="H25" s="29" t="n">
        <v>0.0001</v>
      </c>
      <c r="I25" s="30" t="n">
        <v>1e-06</v>
      </c>
      <c r="J25" s="31">
        <f>IF(ABS(F25)&lt;=MAX(H25*ABS(D25),I25),"OK","NO")</f>
        <v/>
      </c>
      <c r="K25" s="17" t="inlineStr">
        <is>
          <t>Fórmula</t>
        </is>
      </c>
      <c r="L25" s="9" t="inlineStr">
        <is>
          <t>-(5*w*L^4/384-M1*L^2/8)/EI</t>
        </is>
      </c>
      <c r="M25" s="9" t="inlineStr">
        <is>
          <t>Barra 1, en x = 0.5·L, flecha vy (plano del alma) · combinación «C1: 1,0·D»</t>
        </is>
      </c>
      <c r="N25" s="9" t="inlineStr"/>
    </row>
    <row r="26" ht="16" customHeight="1">
      <c r="A26" s="17" t="n">
        <v>4</v>
      </c>
      <c r="B26" s="8" t="inlineStr">
        <is>
          <t>(1) Reacción de momento en el nudo (= M de la unión)</t>
        </is>
      </c>
      <c r="C26" s="17" t="inlineStr">
        <is>
          <t>kN·m</t>
        </is>
      </c>
      <c r="D26" s="26">
        <f>ABS($D$16/1000000)</f>
        <v/>
      </c>
      <c r="E26" s="25" t="n">
        <v>30.00000000000001</v>
      </c>
      <c r="F26" s="27">
        <f>E26-D26</f>
        <v/>
      </c>
      <c r="G26" s="28">
        <f>IF(ABS(D26)&gt;0.000000000001,F26/D26,"—")</f>
        <v/>
      </c>
      <c r="H26" s="29" t="n">
        <v>0.0001</v>
      </c>
      <c r="I26" s="30" t="n">
        <v>1e-06</v>
      </c>
      <c r="J26" s="31">
        <f>IF(ABS(F26)&lt;=MAX(H26*ABS(D26),I26),"OK","NO")</f>
        <v/>
      </c>
      <c r="K26" s="17" t="inlineStr">
        <is>
          <t>Fórmula</t>
        </is>
      </c>
      <c r="L26" s="9" t="inlineStr">
        <is>
          <t>M1/1000000</t>
        </is>
      </c>
      <c r="M26" s="9" t="inlineStr">
        <is>
          <t>Reacción My en el nudo 1 · combinación «C1: 1,0·D»</t>
        </is>
      </c>
      <c r="N26" s="9" t="inlineStr">
        <is>
          <t>Se comparan valores absolutos (la convención de signo es independiente del resultado).</t>
        </is>
      </c>
    </row>
    <row r="27" ht="28" customHeight="1">
      <c r="A27" s="17" t="n">
        <v>5</v>
      </c>
      <c r="B27" s="8" t="inlineStr">
        <is>
          <t>(2) Momento en la unión (extremo i)</t>
        </is>
      </c>
      <c r="C27" s="17" t="inlineStr">
        <is>
          <t>kN·m</t>
        </is>
      </c>
      <c r="D27" s="26">
        <f>ABS($D$17/1000000)</f>
        <v/>
      </c>
      <c r="E27" s="25" t="n">
        <v>50.00000000000002</v>
      </c>
      <c r="F27" s="27">
        <f>E27-D27</f>
        <v/>
      </c>
      <c r="G27" s="28">
        <f>IF(ABS(D27)&gt;0.000000000001,F27/D27,"—")</f>
        <v/>
      </c>
      <c r="H27" s="29" t="n">
        <v>0.0001</v>
      </c>
      <c r="I27" s="30" t="n">
        <v>1e-06</v>
      </c>
      <c r="J27" s="31">
        <f>IF(ABS(F27)&lt;=MAX(H27*ABS(D27),I27),"OK","NO")</f>
        <v/>
      </c>
      <c r="K27" s="17" t="inlineStr">
        <is>
          <t>Fórmula</t>
        </is>
      </c>
      <c r="L27" s="9" t="inlineStr">
        <is>
          <t>M2/1000000</t>
        </is>
      </c>
      <c r="M27" s="9" t="inlineStr">
        <is>
          <t>Barra 2, en x = 0·L, momento flector Mz (eje fuerte) · combinación «C1: 1,0·D»</t>
        </is>
      </c>
      <c r="N27" s="9" t="inlineStr">
        <is>
          <t>Se comparan valores absolutos (la convención de signo es independiente del resultado).</t>
        </is>
      </c>
    </row>
    <row r="28" ht="28" customHeight="1">
      <c r="A28" s="17" t="n">
        <v>6</v>
      </c>
      <c r="B28" s="8" t="inlineStr">
        <is>
          <t>(2) Flecha central</t>
        </is>
      </c>
      <c r="C28" s="17" t="inlineStr">
        <is>
          <t>mm</t>
        </is>
      </c>
      <c r="D28" s="26">
        <f>-(5*$D$11*$D$10^4/384-$D$17*$D$10^2/8)/$D$12</f>
        <v/>
      </c>
      <c r="E28" s="25" t="n">
        <v>-6.731689803733849</v>
      </c>
      <c r="F28" s="27">
        <f>E28-D28</f>
        <v/>
      </c>
      <c r="G28" s="28">
        <f>IF(ABS(D28)&gt;0.000000000001,F28/D28,"—")</f>
        <v/>
      </c>
      <c r="H28" s="29" t="n">
        <v>0.0001</v>
      </c>
      <c r="I28" s="30" t="n">
        <v>1e-06</v>
      </c>
      <c r="J28" s="31">
        <f>IF(ABS(F28)&lt;=MAX(H28*ABS(D28),I28),"OK","NO")</f>
        <v/>
      </c>
      <c r="K28" s="17" t="inlineStr">
        <is>
          <t>Fórmula</t>
        </is>
      </c>
      <c r="L28" s="9" t="inlineStr">
        <is>
          <t>-(5*w*L^4/384-M2*L^2/8)/EI</t>
        </is>
      </c>
      <c r="M28" s="9" t="inlineStr">
        <is>
          <t>Barra 2, en x = 0.5·L, flecha vy (plano del alma) · combinación «C1: 1,0·D»</t>
        </is>
      </c>
      <c r="N28" s="9" t="inlineStr"/>
    </row>
    <row r="29" ht="28" customHeight="1">
      <c r="A29" s="17" t="n">
        <v>7</v>
      </c>
      <c r="B29" s="8" t="inlineStr">
        <is>
          <t>(3) Momento en la unión elástica</t>
        </is>
      </c>
      <c r="C29" s="17" t="inlineStr">
        <is>
          <t>kN·m</t>
        </is>
      </c>
      <c r="D29" s="26">
        <f>ABS($D$18/1000000)</f>
        <v/>
      </c>
      <c r="E29" s="25" t="n">
        <v>30.00000000000003</v>
      </c>
      <c r="F29" s="27">
        <f>E29-D29</f>
        <v/>
      </c>
      <c r="G29" s="28">
        <f>IF(ABS(D29)&gt;0.000000000001,F29/D29,"—")</f>
        <v/>
      </c>
      <c r="H29" s="29" t="n">
        <v>0.0001</v>
      </c>
      <c r="I29" s="30" t="n">
        <v>1e-06</v>
      </c>
      <c r="J29" s="31">
        <f>IF(ABS(F29)&lt;=MAX(H29*ABS(D29),I29),"OK","NO")</f>
        <v/>
      </c>
      <c r="K29" s="17" t="inlineStr">
        <is>
          <t>Fórmula</t>
        </is>
      </c>
      <c r="L29" s="9" t="inlineStr">
        <is>
          <t>M3/1000000</t>
        </is>
      </c>
      <c r="M29" s="9" t="inlineStr">
        <is>
          <t>Barra 3, en x = 0·L, momento flector Mz (eje fuerte) · combinación «C1: 1,0·D»</t>
        </is>
      </c>
      <c r="N29" s="9" t="inlineStr">
        <is>
          <t>Se comparan valores absolutos (la convención de signo es independiente del resultado).</t>
        </is>
      </c>
    </row>
    <row r="30" ht="16" customHeight="1">
      <c r="A30" s="17" t="n">
        <v>8</v>
      </c>
      <c r="B30" s="8" t="inlineStr">
        <is>
          <t>(3) Momento en el empotramiento rígido</t>
        </is>
      </c>
      <c r="C30" s="17" t="inlineStr">
        <is>
          <t>kN·m</t>
        </is>
      </c>
      <c r="D30" s="26">
        <f>ABS($D$19/1000000)</f>
        <v/>
      </c>
      <c r="E30" s="25" t="n">
        <v>75.00000000000006</v>
      </c>
      <c r="F30" s="27">
        <f>E30-D30</f>
        <v/>
      </c>
      <c r="G30" s="28">
        <f>IF(ABS(D30)&gt;0.000000000001,F30/D30,"—")</f>
        <v/>
      </c>
      <c r="H30" s="29" t="n">
        <v>0.0001</v>
      </c>
      <c r="I30" s="30" t="n">
        <v>1e-06</v>
      </c>
      <c r="J30" s="31">
        <f>IF(ABS(F30)&lt;=MAX(H30*ABS(D30),I30),"OK","NO")</f>
        <v/>
      </c>
      <c r="K30" s="17" t="inlineStr">
        <is>
          <t>Fórmula</t>
        </is>
      </c>
      <c r="L30" s="9" t="inlineStr">
        <is>
          <t>M3j/1000000</t>
        </is>
      </c>
      <c r="M30" s="9" t="inlineStr">
        <is>
          <t>Reacción My en el nudo 6 · combinación «C1: 1,0·D»</t>
        </is>
      </c>
      <c r="N30" s="9" t="inlineStr">
        <is>
          <t>Se comparan valores absolutos (la convención de signo es independiente del resultado).</t>
        </is>
      </c>
    </row>
    <row r="31" ht="28" customHeight="1">
      <c r="A31" s="17" t="n">
        <v>9</v>
      </c>
      <c r="B31" s="8" t="inlineStr">
        <is>
          <t>(3) Reacción vertical en el extremo con unión elástica = wL/2 − (Mj − Mi)/L</t>
        </is>
      </c>
      <c r="C31" s="17" t="inlineStr">
        <is>
          <t>kN</t>
        </is>
      </c>
      <c r="D31" s="26">
        <f>ABS(($D$11*$D$10/2-($D$19-$D$18)/$D$10)/1000)</f>
        <v/>
      </c>
      <c r="E31" s="25" t="n">
        <v>52.49999999999999</v>
      </c>
      <c r="F31" s="27">
        <f>E31-D31</f>
        <v/>
      </c>
      <c r="G31" s="28">
        <f>IF(ABS(D31)&gt;0.000000000001,F31/D31,"—")</f>
        <v/>
      </c>
      <c r="H31" s="29" t="n">
        <v>0.0001</v>
      </c>
      <c r="I31" s="30" t="n">
        <v>1e-06</v>
      </c>
      <c r="J31" s="31">
        <f>IF(ABS(F31)&lt;=MAX(H31*ABS(D31),I31),"OK","NO")</f>
        <v/>
      </c>
      <c r="K31" s="17" t="inlineStr">
        <is>
          <t>Fórmula</t>
        </is>
      </c>
      <c r="L31" s="9" t="inlineStr">
        <is>
          <t>(w*L/2-(M3j-M3)/L)/1000</t>
        </is>
      </c>
      <c r="M31" s="9" t="inlineStr">
        <is>
          <t>Reacción Fz en el nudo 5 · combinación «C1: 1,0·D»</t>
        </is>
      </c>
      <c r="N31" s="9" t="inlineStr">
        <is>
          <t>Se comparan valores absolutos (la convención de signo es independiente del resultado).</t>
        </is>
      </c>
    </row>
    <row r="33">
      <c r="B33" s="4" t="inlineStr">
        <is>
          <t>Comprobaciones dentro de tolerancia</t>
        </is>
      </c>
      <c r="D33" s="4">
        <f>COUNTIF(J23:J31,"OK")</f>
        <v/>
      </c>
      <c r="E33" s="4">
        <f>ROWS(J23:J31)</f>
        <v/>
      </c>
      <c r="F33" s="4">
        <f>IF(D33=E33,"VERIFICA","DIFIERE")</f>
        <v/>
      </c>
    </row>
    <row r="34">
      <c r="B34" s="2" t="inlineStr">
        <is>
          <t>Azul = dato ingresado o valor que entregó el programa (pegado); negro = fórmula de Excel. El valor «Programa» es el resultado del motor de cálculo de la app para el mismo modelo.</t>
        </is>
      </c>
    </row>
  </sheetData>
  <mergeCells count="2">
    <mergeCell ref="A3:L3"/>
    <mergeCell ref="A4:L4"/>
  </mergeCells>
  <conditionalFormatting sqref="J23:J31">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37.xml><?xml version="1.0" encoding="utf-8"?>
<worksheet xmlns="http://schemas.openxmlformats.org/spreadsheetml/2006/main">
  <sheetPr>
    <outlinePr summaryBelow="1" summaryRight="1"/>
    <pageSetUpPr fitToPage="1"/>
  </sheetPr>
  <dimension ref="A1:N27"/>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N08 · Deformación por corte (Timoshenko): voladizo y viga corta</t>
        </is>
      </c>
    </row>
    <row r="2">
      <c r="A2" s="2" t="inlineStr">
        <is>
          <t>Solución clásica.  Fuente: Soluciones clásicas: Timoshenko «Resistencia de materiales» y «Theory of Elastic Stability» (Timoshenko &amp; Gere), Roark «Formulas for Stress and Strain», método de pendiente-deflexión, Ghali &amp; Neville «Structural Analysis» (efectos térmicos y asentamientos)</t>
        </is>
      </c>
    </row>
    <row r="3" ht="40.5" customHeight="1">
      <c r="A3" s="14" t="inlineStr">
        <is>
          <t>Enunciado. Con la opción «deformación por corte» activada (área de corte As = h·tw, la del Reglamento). (1) Voladizo IPE 200 de 0,80 m con P = 50 kN en la punta: δ = PL³/(3EI) + PL/(G·As); el giro de la sección en la punta no cambia (PL²/2EI). (2) Viga biapoyada IPE 200 de 1,60 m con 40 kN/m: δ = 5wL⁴/(384EI) + wL²/(8·G·As); el giro de la sección en el apoyo tampoco cambia (wL³/24EI).</t>
        </is>
      </c>
    </row>
    <row r="4" ht="28" customHeight="1">
      <c r="A4" s="14" t="inlineStr">
        <is>
          <t>Perfil. IPE 200 (tabla): h = 200 mm, tw = 5,6 mm, Ix = 1 943 cm⁴.</t>
        </is>
      </c>
    </row>
    <row r="6">
      <c r="A6" s="22" t="inlineStr">
        <is>
          <t>DATOS DEL EJERCICIO</t>
        </is>
      </c>
      <c r="B6" s="22" t="n"/>
      <c r="C6" s="22" t="n"/>
      <c r="D6" s="22" t="n"/>
      <c r="E6" s="22" t="n"/>
      <c r="F6" s="22" t="n"/>
      <c r="G6" s="22" t="n"/>
      <c r="H6" s="22" t="n"/>
      <c r="I6" s="22" t="n"/>
      <c r="J6" s="22" t="n"/>
      <c r="K6" s="22" t="n"/>
      <c r="L6" s="22" t="n"/>
      <c r="M6" s="22" t="n"/>
      <c r="N6" s="22" t="n"/>
    </row>
    <row r="7">
      <c r="A7" s="5" t="inlineStr">
        <is>
          <t>#</t>
        </is>
      </c>
      <c r="B7" s="5" t="inlineStr">
        <is>
          <t>Dato</t>
        </is>
      </c>
      <c r="C7" s="5" t="inlineStr">
        <is>
          <t>Unidad</t>
        </is>
      </c>
      <c r="D7" s="5" t="inlineStr">
        <is>
          <t>Valor</t>
        </is>
      </c>
      <c r="K7" s="5" t="inlineStr">
        <is>
          <t>Símbolo</t>
        </is>
      </c>
      <c r="L7" s="5" t="inlineStr">
        <is>
          <t>Fórmula (texto)</t>
        </is>
      </c>
    </row>
    <row r="8">
      <c r="A8" s="17" t="n">
        <v>1</v>
      </c>
      <c r="B8" s="8" t="inlineStr">
        <is>
          <t>Módulo elástico</t>
        </is>
      </c>
      <c r="C8" s="17" t="inlineStr">
        <is>
          <t>MPa</t>
        </is>
      </c>
      <c r="D8" s="23" t="n">
        <v>200000</v>
      </c>
      <c r="K8" s="17" t="inlineStr">
        <is>
          <t>E</t>
        </is>
      </c>
      <c r="L8" s="24" t="inlineStr">
        <is>
          <t>dato ingresado</t>
        </is>
      </c>
    </row>
    <row r="9">
      <c r="A9" s="17" t="n">
        <v>2</v>
      </c>
      <c r="B9" s="8" t="inlineStr">
        <is>
          <t>Módulo de corte</t>
        </is>
      </c>
      <c r="C9" s="17" t="inlineStr">
        <is>
          <t>MPa</t>
        </is>
      </c>
      <c r="D9" s="23" t="n">
        <v>77200</v>
      </c>
      <c r="K9" s="17" t="inlineStr">
        <is>
          <t>G</t>
        </is>
      </c>
      <c r="L9" s="24" t="inlineStr">
        <is>
          <t>dato ingresado</t>
        </is>
      </c>
    </row>
    <row r="10">
      <c r="A10" s="17" t="n">
        <v>3</v>
      </c>
      <c r="B10" s="8" t="inlineStr">
        <is>
          <t>Ix IPE 200</t>
        </is>
      </c>
      <c r="C10" s="17" t="inlineStr">
        <is>
          <t>mm⁴</t>
        </is>
      </c>
      <c r="D10" s="35" t="n">
        <v>19430000</v>
      </c>
      <c r="K10" s="17" t="inlineStr">
        <is>
          <t>I</t>
        </is>
      </c>
      <c r="L10" s="24" t="inlineStr">
        <is>
          <t>dato ingresado</t>
        </is>
      </c>
    </row>
    <row r="11">
      <c r="A11" s="17" t="n">
        <v>4</v>
      </c>
      <c r="B11" s="8" t="inlineStr">
        <is>
          <t>Área de corte h·tw</t>
        </is>
      </c>
      <c r="C11" s="17" t="inlineStr">
        <is>
          <t>mm²</t>
        </is>
      </c>
      <c r="D11" s="38">
        <f>200*5.6</f>
        <v/>
      </c>
      <c r="K11" s="17" t="inlineStr">
        <is>
          <t>As</t>
        </is>
      </c>
      <c r="L11" s="24" t="inlineStr">
        <is>
          <t>valor = 200*5.6</t>
        </is>
      </c>
    </row>
    <row r="12">
      <c r="A12" s="17" t="n">
        <v>5</v>
      </c>
      <c r="B12" s="8" t="inlineStr">
        <is>
          <t>Largo del voladizo (1)</t>
        </is>
      </c>
      <c r="C12" s="17" t="inlineStr">
        <is>
          <t>mm</t>
        </is>
      </c>
      <c r="D12" s="25" t="n">
        <v>800</v>
      </c>
      <c r="K12" s="17" t="inlineStr">
        <is>
          <t>L1</t>
        </is>
      </c>
      <c r="L12" s="24" t="inlineStr">
        <is>
          <t>dato ingresado</t>
        </is>
      </c>
    </row>
    <row r="13">
      <c r="A13" s="17" t="n">
        <v>6</v>
      </c>
      <c r="B13" s="8" t="inlineStr">
        <is>
          <t>Carga en la punta (1)</t>
        </is>
      </c>
      <c r="C13" s="17" t="inlineStr">
        <is>
          <t>kN</t>
        </is>
      </c>
      <c r="D13" s="25" t="n">
        <v>50</v>
      </c>
      <c r="K13" s="17" t="inlineStr">
        <is>
          <t>P</t>
        </is>
      </c>
      <c r="L13" s="24" t="inlineStr">
        <is>
          <t>dato ingresado</t>
        </is>
      </c>
    </row>
    <row r="14">
      <c r="A14" s="17" t="n">
        <v>7</v>
      </c>
      <c r="B14" s="8" t="inlineStr">
        <is>
          <t>Luz de la viga (2)</t>
        </is>
      </c>
      <c r="C14" s="17" t="inlineStr">
        <is>
          <t>mm</t>
        </is>
      </c>
      <c r="D14" s="23" t="n">
        <v>1600</v>
      </c>
      <c r="K14" s="17" t="inlineStr">
        <is>
          <t>L2</t>
        </is>
      </c>
      <c r="L14" s="24" t="inlineStr">
        <is>
          <t>dato ingresado</t>
        </is>
      </c>
    </row>
    <row r="15">
      <c r="A15" s="17" t="n">
        <v>8</v>
      </c>
      <c r="B15" s="8" t="inlineStr">
        <is>
          <t>Carga uniforme (2)</t>
        </is>
      </c>
      <c r="C15" s="17" t="inlineStr">
        <is>
          <t>kN/m</t>
        </is>
      </c>
      <c r="D15" s="25" t="n">
        <v>40</v>
      </c>
      <c r="K15" s="17" t="inlineStr">
        <is>
          <t>w</t>
        </is>
      </c>
      <c r="L15" s="24" t="inlineStr">
        <is>
          <t>dato ingresado</t>
        </is>
      </c>
    </row>
    <row r="17">
      <c r="A17" s="22" t="inlineStr">
        <is>
          <t>COMPARACIÓN: TEORÍA / DATO PUBLICADO  vs  PROGRAMA (Atlas Estructuras 3D)</t>
        </is>
      </c>
      <c r="B17" s="22" t="n"/>
      <c r="C17" s="22" t="n"/>
      <c r="D17" s="22" t="n"/>
      <c r="E17" s="22" t="n"/>
      <c r="F17" s="22" t="n"/>
      <c r="G17" s="22" t="n"/>
      <c r="H17" s="22" t="n"/>
      <c r="I17" s="22" t="n"/>
      <c r="J17" s="22" t="n"/>
      <c r="K17" s="22" t="n"/>
      <c r="L17" s="22" t="n"/>
      <c r="M17" s="22" t="n"/>
      <c r="N17" s="22" t="n"/>
    </row>
    <row r="18" ht="30" customHeight="1">
      <c r="A18" s="5" t="inlineStr">
        <is>
          <t>#</t>
        </is>
      </c>
      <c r="B18" s="5" t="inlineStr">
        <is>
          <t>Comprobación</t>
        </is>
      </c>
      <c r="C18" s="5" t="inlineStr">
        <is>
          <t>Unidad</t>
        </is>
      </c>
      <c r="D18" s="5" t="inlineStr">
        <is>
          <t>Teoría / publicado</t>
        </is>
      </c>
      <c r="E18" s="5" t="inlineStr">
        <is>
          <t>Programa</t>
        </is>
      </c>
      <c r="F18" s="5" t="inlineStr">
        <is>
          <t>Diferencia (prog. − teoría)</t>
        </is>
      </c>
      <c r="G18" s="5" t="inlineStr">
        <is>
          <t>Error relativo</t>
        </is>
      </c>
      <c r="H18" s="5" t="inlineStr">
        <is>
          <t>Tol. relativa</t>
        </is>
      </c>
      <c r="I18" s="5" t="inlineStr">
        <is>
          <t>Tol. absoluta</t>
        </is>
      </c>
      <c r="J18" s="5" t="inlineStr">
        <is>
          <t>Estado</t>
        </is>
      </c>
      <c r="K18" s="5" t="inlineStr">
        <is>
          <t>Origen</t>
        </is>
      </c>
      <c r="L18" s="5" t="inlineStr">
        <is>
          <t>Expresión de la teoría (texto)</t>
        </is>
      </c>
      <c r="M18" s="5" t="inlineStr">
        <is>
          <t>Dónde se lee en el programa</t>
        </is>
      </c>
      <c r="N18" s="5" t="inlineStr">
        <is>
          <t>Nota</t>
        </is>
      </c>
    </row>
    <row r="19" ht="16" customHeight="1">
      <c r="A19" s="17" t="n">
        <v>1</v>
      </c>
      <c r="B19" s="8" t="inlineStr">
        <is>
          <t>(1) Flecha de la punta = PL³/(3EI) + PL/(G·As)</t>
        </is>
      </c>
      <c r="C19" s="17" t="inlineStr">
        <is>
          <t>mm</t>
        </is>
      </c>
      <c r="D19" s="26">
        <f>-($D$13*1000*$D$12^3/(3*$D$8*$D$10)+$D$13*1000*$D$12/($D$9*$D$11))</f>
        <v/>
      </c>
      <c r="E19" s="25" t="n">
        <v>-2.658537247823771</v>
      </c>
      <c r="F19" s="27">
        <f>E19-D19</f>
        <v/>
      </c>
      <c r="G19" s="28">
        <f>IF(ABS(D19)&gt;0.000000000001,F19/D19,"—")</f>
        <v/>
      </c>
      <c r="H19" s="29" t="n">
        <v>0.0001</v>
      </c>
      <c r="I19" s="30" t="n">
        <v>1e-06</v>
      </c>
      <c r="J19" s="31">
        <f>IF(ABS(F19)&lt;=MAX(H19*ABS(D19),I19),"OK","NO")</f>
        <v/>
      </c>
      <c r="K19" s="17" t="inlineStr">
        <is>
          <t>Fórmula</t>
        </is>
      </c>
      <c r="L19" s="9" t="inlineStr">
        <is>
          <t>-(P*1000*L1^3/(3*E*I)+P*1000*L1/(G*As))</t>
        </is>
      </c>
      <c r="M19" s="9" t="inlineStr">
        <is>
          <t>Desplazamiento Uz del nudo 2 · combinación «C1: 1,0·D»</t>
        </is>
      </c>
      <c r="N19" s="9" t="inlineStr"/>
    </row>
    <row r="20" ht="16" customHeight="1">
      <c r="A20" s="17" t="n">
        <v>2</v>
      </c>
      <c r="B20" s="8" t="inlineStr">
        <is>
          <t>(1) Giro de la sección en la punta = PL²/(2EI)</t>
        </is>
      </c>
      <c r="C20" s="17" t="inlineStr">
        <is>
          <t>rad</t>
        </is>
      </c>
      <c r="D20" s="33">
        <f>ABS($D$13*1000*$D$12^2/(2*$D$8*$D$10))</f>
        <v/>
      </c>
      <c r="E20" s="34" t="n">
        <v>0.004117344312070543</v>
      </c>
      <c r="F20" s="27">
        <f>E20-D20</f>
        <v/>
      </c>
      <c r="G20" s="28">
        <f>IF(ABS(D20)&gt;0.000000000001,F20/D20,"—")</f>
        <v/>
      </c>
      <c r="H20" s="29" t="n">
        <v>0.0001</v>
      </c>
      <c r="I20" s="30" t="n">
        <v>1e-06</v>
      </c>
      <c r="J20" s="31">
        <f>IF(ABS(F20)&lt;=MAX(H20*ABS(D20),I20),"OK","NO")</f>
        <v/>
      </c>
      <c r="K20" s="17" t="inlineStr">
        <is>
          <t>Fórmula</t>
        </is>
      </c>
      <c r="L20" s="9" t="inlineStr">
        <is>
          <t>P*1000*L1^2/(2*E*I)</t>
        </is>
      </c>
      <c r="M20" s="9" t="inlineStr">
        <is>
          <t>Desplazamiento Ry del nudo 2 · combinación «C1: 1,0·D»</t>
        </is>
      </c>
      <c r="N20" s="9" t="inlineStr">
        <is>
          <t>Se comparan valores absolutos (la convención de signo es independiente del resultado).</t>
        </is>
      </c>
    </row>
    <row r="21" ht="16" customHeight="1">
      <c r="A21" s="17" t="n">
        <v>3</v>
      </c>
      <c r="B21" s="8" t="inlineStr">
        <is>
          <t>(1) Momento de empotramiento</t>
        </is>
      </c>
      <c r="C21" s="17" t="inlineStr">
        <is>
          <t>kN·m</t>
        </is>
      </c>
      <c r="D21" s="26">
        <f>ABS($D$13*$D$12/1000)</f>
        <v/>
      </c>
      <c r="E21" s="25" t="n">
        <v>39.99999999588267</v>
      </c>
      <c r="F21" s="27">
        <f>E21-D21</f>
        <v/>
      </c>
      <c r="G21" s="28">
        <f>IF(ABS(D21)&gt;0.000000000001,F21/D21,"—")</f>
        <v/>
      </c>
      <c r="H21" s="29" t="n">
        <v>0.0001</v>
      </c>
      <c r="I21" s="30" t="n">
        <v>1e-06</v>
      </c>
      <c r="J21" s="31">
        <f>IF(ABS(F21)&lt;=MAX(H21*ABS(D21),I21),"OK","NO")</f>
        <v/>
      </c>
      <c r="K21" s="17" t="inlineStr">
        <is>
          <t>Fórmula</t>
        </is>
      </c>
      <c r="L21" s="9" t="inlineStr">
        <is>
          <t>P*L1/1000</t>
        </is>
      </c>
      <c r="M21" s="9" t="inlineStr">
        <is>
          <t>Reacción My en el nudo 1 · combinación «C1: 1,0·D»</t>
        </is>
      </c>
      <c r="N21" s="9" t="inlineStr">
        <is>
          <t>Se comparan valores absolutos (la convención de signo es independiente del resultado).</t>
        </is>
      </c>
    </row>
    <row r="22" ht="28" customHeight="1">
      <c r="A22" s="17" t="n">
        <v>4</v>
      </c>
      <c r="B22" s="8" t="inlineStr">
        <is>
          <t>(2) Flecha central = 5wL⁴/(384EI) + wL²/(8·G·As)</t>
        </is>
      </c>
      <c r="C22" s="17" t="inlineStr">
        <is>
          <t>mm</t>
        </is>
      </c>
      <c r="D22" s="26">
        <f>-(5*$D$15*$D$14^4/(384*$D$8*$D$10)+$D$15*$D$14^2/(8*$D$9*$D$11))</f>
        <v/>
      </c>
      <c r="E22" s="25" t="n">
        <v>-1.026405276618616</v>
      </c>
      <c r="F22" s="27">
        <f>E22-D22</f>
        <v/>
      </c>
      <c r="G22" s="28">
        <f>IF(ABS(D22)&gt;0.000000000001,F22/D22,"—")</f>
        <v/>
      </c>
      <c r="H22" s="29" t="n">
        <v>0.0001</v>
      </c>
      <c r="I22" s="30" t="n">
        <v>1e-06</v>
      </c>
      <c r="J22" s="31">
        <f>IF(ABS(F22)&lt;=MAX(H22*ABS(D22),I22),"OK","NO")</f>
        <v/>
      </c>
      <c r="K22" s="17" t="inlineStr">
        <is>
          <t>Fórmula</t>
        </is>
      </c>
      <c r="L22" s="9" t="inlineStr">
        <is>
          <t>-(5*w*L2^4/(384*E*I)+w*L2^2/(8*G*As))</t>
        </is>
      </c>
      <c r="M22" s="9" t="inlineStr">
        <is>
          <t>Barra 2, en x = 0.5·L, flecha vy (plano del alma) · combinación «C1: 1,0·D»</t>
        </is>
      </c>
      <c r="N22" s="9" t="inlineStr"/>
    </row>
    <row r="23" ht="16" customHeight="1">
      <c r="A23" s="17" t="n">
        <v>5</v>
      </c>
      <c r="B23" s="8" t="inlineStr">
        <is>
          <t>(2) Giro de la sección en el apoyo = wL³/(24EI)</t>
        </is>
      </c>
      <c r="C23" s="17" t="inlineStr">
        <is>
          <t>rad</t>
        </is>
      </c>
      <c r="D23" s="33">
        <f>ABS($D$15*$D$14^3/(24*$D$8*$D$10))</f>
        <v/>
      </c>
      <c r="E23" s="34" t="n">
        <v>0.001756733573150099</v>
      </c>
      <c r="F23" s="27">
        <f>E23-D23</f>
        <v/>
      </c>
      <c r="G23" s="28">
        <f>IF(ABS(D23)&gt;0.000000000001,F23/D23,"—")</f>
        <v/>
      </c>
      <c r="H23" s="29" t="n">
        <v>0.0001</v>
      </c>
      <c r="I23" s="30" t="n">
        <v>1e-06</v>
      </c>
      <c r="J23" s="31">
        <f>IF(ABS(F23)&lt;=MAX(H23*ABS(D23),I23),"OK","NO")</f>
        <v/>
      </c>
      <c r="K23" s="17" t="inlineStr">
        <is>
          <t>Fórmula</t>
        </is>
      </c>
      <c r="L23" s="9" t="inlineStr">
        <is>
          <t>w*L2^3/(24*E*I)</t>
        </is>
      </c>
      <c r="M23" s="9" t="inlineStr">
        <is>
          <t>Desplazamiento Ry del nudo 3 · combinación «C1: 1,0·D»</t>
        </is>
      </c>
      <c r="N23" s="9" t="inlineStr">
        <is>
          <t>Se comparan valores absolutos (la convención de signo es independiente del resultado).</t>
        </is>
      </c>
    </row>
    <row r="24" ht="28" customHeight="1">
      <c r="A24" s="17" t="n">
        <v>6</v>
      </c>
      <c r="B24" s="8" t="inlineStr">
        <is>
          <t>(2) Momento a media luz</t>
        </is>
      </c>
      <c r="C24" s="17" t="inlineStr">
        <is>
          <t>kN·m</t>
        </is>
      </c>
      <c r="D24" s="26">
        <f>ABS($D$15*$D$14^2/8/1000000)</f>
        <v/>
      </c>
      <c r="E24" s="25" t="n">
        <v>12.79999999824327</v>
      </c>
      <c r="F24" s="27">
        <f>E24-D24</f>
        <v/>
      </c>
      <c r="G24" s="28">
        <f>IF(ABS(D24)&gt;0.000000000001,F24/D24,"—")</f>
        <v/>
      </c>
      <c r="H24" s="29" t="n">
        <v>0.0001</v>
      </c>
      <c r="I24" s="30" t="n">
        <v>1e-06</v>
      </c>
      <c r="J24" s="31">
        <f>IF(ABS(F24)&lt;=MAX(H24*ABS(D24),I24),"OK","NO")</f>
        <v/>
      </c>
      <c r="K24" s="17" t="inlineStr">
        <is>
          <t>Fórmula</t>
        </is>
      </c>
      <c r="L24" s="9" t="inlineStr">
        <is>
          <t>w*L2^2/8/1000000</t>
        </is>
      </c>
      <c r="M24" s="9" t="inlineStr">
        <is>
          <t>Barra 2, en x = 0.5·L, momento flector Mz (eje fuerte) · combinación «C1: 1,0·D»</t>
        </is>
      </c>
      <c r="N24" s="9" t="inlineStr">
        <is>
          <t>Se comparan valores absolutos (la convención de signo es independiente del resultado).</t>
        </is>
      </c>
    </row>
    <row r="26">
      <c r="B26" s="4" t="inlineStr">
        <is>
          <t>Comprobaciones dentro de tolerancia</t>
        </is>
      </c>
      <c r="D26" s="4">
        <f>COUNTIF(J19:J24,"OK")</f>
        <v/>
      </c>
      <c r="E26" s="4">
        <f>ROWS(J19:J24)</f>
        <v/>
      </c>
      <c r="F26" s="4">
        <f>IF(D26=E26,"VERIFICA","DIFIERE")</f>
        <v/>
      </c>
    </row>
    <row r="27">
      <c r="B27" s="2" t="inlineStr">
        <is>
          <t>Azul = dato ingresado o valor que entregó el programa (pegado); negro = fórmula de Excel. El valor «Programa» es el resultado del motor de cálculo de la app para el mismo modelo.</t>
        </is>
      </c>
    </row>
  </sheetData>
  <mergeCells count="2">
    <mergeCell ref="A3:L3"/>
    <mergeCell ref="A4:L4"/>
  </mergeCells>
  <conditionalFormatting sqref="J19:J24">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38.xml><?xml version="1.0" encoding="utf-8"?>
<worksheet xmlns="http://schemas.openxmlformats.org/spreadsheetml/2006/main">
  <sheetPr>
    <outlinePr summaryBelow="1" summaryRight="1"/>
    <pageSetUpPr fitToPage="1"/>
  </sheetPr>
  <dimension ref="A1:N56"/>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N10 · Propiedades de secciones armadas: PS soldada, perfil + platabanda y cajón</t>
        </is>
      </c>
    </row>
    <row r="2">
      <c r="A2" s="2" t="inlineStr">
        <is>
          <t>Solución clásica.  Fuente: Soluciones clásicas: Timoshenko «Resistencia de materiales» y «Theory of Elastic Stability» (Timoshenko &amp; Gere), Roark «Formulas for Stress and Strain», método de pendiente-deflexión, Ghali &amp; Neville «Structural Analysis» (efectos térmicos y asentamientos)</t>
        </is>
      </c>
    </row>
    <row r="3" ht="40.5" customHeight="1">
      <c r="A3" s="14" t="inlineStr">
        <is>
          <t>Enunciado. Se comparan las propiedades que calcula el programa para tres secciones armadas con el cálculo directo: (1) perfil soldado doble T «PS» de alma 300×6 y alas 150×10; (2) IPE 100 con una platabanda superior de 150×10 (teorema de Steiner); (3) cajón soldado de 300×200 con alma 8 y ala 10 (torsión de Bredt-Batho). Para la doble T se usan A, Ix, Iy, el módulo plástico, J = Σ b·t³/3 y el alabeo Cw = tf·b³·(h−tf)²/24.</t>
        </is>
      </c>
    </row>
    <row r="4" ht="28" customHeight="1">
      <c r="A4" s="14" t="inlineStr">
        <is>
          <t>Perfil. PS 320×150×10/6 (alma hw = 300, tw = 6; alas 150×10); IPE 100 + PL 150×10 (A = 10,3 cm², Ix = 171 cm⁴, h = 100 mm); cajón 300×200×8/10.</t>
        </is>
      </c>
    </row>
    <row r="6">
      <c r="A6" s="22" t="inlineStr">
        <is>
          <t>DATOS DEL EJERCICIO</t>
        </is>
      </c>
      <c r="B6" s="22" t="n"/>
      <c r="C6" s="22" t="n"/>
      <c r="D6" s="22" t="n"/>
      <c r="E6" s="22" t="n"/>
      <c r="F6" s="22" t="n"/>
      <c r="G6" s="22" t="n"/>
      <c r="H6" s="22" t="n"/>
      <c r="I6" s="22" t="n"/>
      <c r="J6" s="22" t="n"/>
      <c r="K6" s="22" t="n"/>
      <c r="L6" s="22" t="n"/>
      <c r="M6" s="22" t="n"/>
      <c r="N6" s="22" t="n"/>
    </row>
    <row r="7">
      <c r="A7" s="5" t="inlineStr">
        <is>
          <t>#</t>
        </is>
      </c>
      <c r="B7" s="5" t="inlineStr">
        <is>
          <t>Dato</t>
        </is>
      </c>
      <c r="C7" s="5" t="inlineStr">
        <is>
          <t>Unidad</t>
        </is>
      </c>
      <c r="D7" s="5" t="inlineStr">
        <is>
          <t>Valor</t>
        </is>
      </c>
      <c r="K7" s="5" t="inlineStr">
        <is>
          <t>Símbolo</t>
        </is>
      </c>
      <c r="L7" s="5" t="inlineStr">
        <is>
          <t>Fórmula (texto)</t>
        </is>
      </c>
    </row>
    <row r="8">
      <c r="A8" s="17" t="n">
        <v>1</v>
      </c>
      <c r="B8" s="8" t="inlineStr">
        <is>
          <t>Alma de la PS</t>
        </is>
      </c>
      <c r="C8" s="17" t="inlineStr">
        <is>
          <t>mm</t>
        </is>
      </c>
      <c r="D8" s="25" t="n">
        <v>300</v>
      </c>
      <c r="K8" s="17" t="inlineStr">
        <is>
          <t>hw</t>
        </is>
      </c>
      <c r="L8" s="24" t="inlineStr">
        <is>
          <t>dato ingresado</t>
        </is>
      </c>
    </row>
    <row r="9">
      <c r="A9" s="17" t="n">
        <v>2</v>
      </c>
      <c r="B9" s="8" t="inlineStr">
        <is>
          <t>Espesor del alma</t>
        </is>
      </c>
      <c r="C9" s="17" t="inlineStr">
        <is>
          <t>mm</t>
        </is>
      </c>
      <c r="D9" s="25" t="n">
        <v>6</v>
      </c>
      <c r="K9" s="17" t="inlineStr">
        <is>
          <t>tw</t>
        </is>
      </c>
      <c r="L9" s="24" t="inlineStr">
        <is>
          <t>dato ingresado</t>
        </is>
      </c>
    </row>
    <row r="10">
      <c r="A10" s="17" t="n">
        <v>3</v>
      </c>
      <c r="B10" s="8" t="inlineStr">
        <is>
          <t>Ancho de ala</t>
        </is>
      </c>
      <c r="C10" s="17" t="inlineStr">
        <is>
          <t>mm</t>
        </is>
      </c>
      <c r="D10" s="25" t="n">
        <v>150</v>
      </c>
      <c r="K10" s="17" t="inlineStr">
        <is>
          <t>bf</t>
        </is>
      </c>
      <c r="L10" s="24" t="inlineStr">
        <is>
          <t>dato ingresado</t>
        </is>
      </c>
    </row>
    <row r="11">
      <c r="A11" s="17" t="n">
        <v>4</v>
      </c>
      <c r="B11" s="8" t="inlineStr">
        <is>
          <t>Espesor de ala</t>
        </is>
      </c>
      <c r="C11" s="17" t="inlineStr">
        <is>
          <t>mm</t>
        </is>
      </c>
      <c r="D11" s="25" t="n">
        <v>10</v>
      </c>
      <c r="K11" s="17" t="inlineStr">
        <is>
          <t>tf</t>
        </is>
      </c>
      <c r="L11" s="24" t="inlineStr">
        <is>
          <t>dato ingresado</t>
        </is>
      </c>
    </row>
    <row r="12">
      <c r="A12" s="17" t="n">
        <v>5</v>
      </c>
      <c r="B12" s="8" t="inlineStr">
        <is>
          <t>Altura total de la PS</t>
        </is>
      </c>
      <c r="C12" s="17" t="inlineStr">
        <is>
          <t>mm</t>
        </is>
      </c>
      <c r="D12" s="26">
        <f>$D$8+2*$D$11</f>
        <v/>
      </c>
      <c r="K12" s="17" t="inlineStr">
        <is>
          <t>hh</t>
        </is>
      </c>
      <c r="L12" s="24" t="inlineStr">
        <is>
          <t>valor = hw+2*tf</t>
        </is>
      </c>
    </row>
    <row r="13">
      <c r="A13" s="17" t="n">
        <v>6</v>
      </c>
      <c r="B13" s="8" t="inlineStr">
        <is>
          <t>Área de la PS</t>
        </is>
      </c>
      <c r="C13" s="17" t="inlineStr">
        <is>
          <t>mm²</t>
        </is>
      </c>
      <c r="D13" s="38">
        <f>2*$D$10*$D$11+$D$8*$D$9</f>
        <v/>
      </c>
      <c r="K13" s="17" t="inlineStr">
        <is>
          <t>A1</t>
        </is>
      </c>
      <c r="L13" s="24" t="inlineStr">
        <is>
          <t>valor = 2*bf*tf+hw*tw</t>
        </is>
      </c>
    </row>
    <row r="14">
      <c r="A14" s="17" t="n">
        <v>7</v>
      </c>
      <c r="B14" s="8" t="inlineStr">
        <is>
          <t>Ix de la PS</t>
        </is>
      </c>
      <c r="C14" s="17" t="inlineStr">
        <is>
          <t>mm⁴</t>
        </is>
      </c>
      <c r="D14" s="27">
        <f>($D$10*$D$12^3-($D$10-$D$9)*$D$8^3)/12</f>
        <v/>
      </c>
      <c r="K14" s="17" t="inlineStr">
        <is>
          <t>Is1</t>
        </is>
      </c>
      <c r="L14" s="24" t="inlineStr">
        <is>
          <t>valor = (bf*hh^3-(bf-tw)*hw^3)/12</t>
        </is>
      </c>
    </row>
    <row r="15">
      <c r="A15" s="17" t="n">
        <v>8</v>
      </c>
      <c r="B15" s="8" t="inlineStr">
        <is>
          <t>Iy de la PS</t>
        </is>
      </c>
      <c r="C15" s="17" t="inlineStr">
        <is>
          <t>mm⁴</t>
        </is>
      </c>
      <c r="D15" s="38">
        <f>2*$D$11*$D$10^3/12+$D$8*$D$9^3/12</f>
        <v/>
      </c>
      <c r="K15" s="17" t="inlineStr">
        <is>
          <t>Iw1</t>
        </is>
      </c>
      <c r="L15" s="24" t="inlineStr">
        <is>
          <t>valor = 2*tf*bf^3/12+hw*tw^3/12</t>
        </is>
      </c>
    </row>
    <row r="16">
      <c r="A16" s="17" t="n">
        <v>9</v>
      </c>
      <c r="B16" s="8" t="inlineStr">
        <is>
          <t>Módulo plástico Zx de la PS</t>
        </is>
      </c>
      <c r="C16" s="17" t="inlineStr">
        <is>
          <t>mm³</t>
        </is>
      </c>
      <c r="D16" s="38">
        <f>$D$10*$D$11*($D$8+$D$11)+$D$9*$D$8^2/4</f>
        <v/>
      </c>
      <c r="K16" s="17" t="inlineStr">
        <is>
          <t>Zs1</t>
        </is>
      </c>
      <c r="L16" s="24" t="inlineStr">
        <is>
          <t>valor = bf*tf*(hw+tf)+tw*hw^2/4</t>
        </is>
      </c>
    </row>
    <row r="17">
      <c r="A17" s="17" t="n">
        <v>10</v>
      </c>
      <c r="B17" s="8" t="inlineStr">
        <is>
          <t>Constante de torsión de la PS</t>
        </is>
      </c>
      <c r="C17" s="17" t="inlineStr">
        <is>
          <t>mm⁴</t>
        </is>
      </c>
      <c r="D17" s="38">
        <f>(2*$D$10*$D$11^3+$D$8*$D$9^3)/3</f>
        <v/>
      </c>
      <c r="K17" s="17" t="inlineStr">
        <is>
          <t>J1</t>
        </is>
      </c>
      <c r="L17" s="24" t="inlineStr">
        <is>
          <t>valor = (2*bf*tf^3+hw*tw^3)/3</t>
        </is>
      </c>
    </row>
    <row r="18">
      <c r="A18" s="17" t="n">
        <v>11</v>
      </c>
      <c r="B18" s="8" t="inlineStr">
        <is>
          <t>Alabeo de la PS (alas)</t>
        </is>
      </c>
      <c r="C18" s="17" t="inlineStr">
        <is>
          <t>mm⁶</t>
        </is>
      </c>
      <c r="D18" s="27">
        <f>$D$11*$D$10^3*($D$8+$D$11)^2/24</f>
        <v/>
      </c>
      <c r="K18" s="17" t="inlineStr">
        <is>
          <t>Cw1</t>
        </is>
      </c>
      <c r="L18" s="24" t="inlineStr">
        <is>
          <t>valor = tf*bf^3*(hw+tf)^2/24</t>
        </is>
      </c>
    </row>
    <row r="19">
      <c r="A19" s="17" t="n">
        <v>12</v>
      </c>
      <c r="B19" s="8" t="inlineStr">
        <is>
          <t>Área IPE 100</t>
        </is>
      </c>
      <c r="C19" s="17" t="inlineStr">
        <is>
          <t>mm²</t>
        </is>
      </c>
      <c r="D19" s="23" t="n">
        <v>1030</v>
      </c>
      <c r="K19" s="17" t="inlineStr">
        <is>
          <t>Ab</t>
        </is>
      </c>
      <c r="L19" s="24" t="inlineStr">
        <is>
          <t>dato ingresado</t>
        </is>
      </c>
    </row>
    <row r="20">
      <c r="A20" s="17" t="n">
        <v>13</v>
      </c>
      <c r="B20" s="8" t="inlineStr">
        <is>
          <t>Ix IPE 100</t>
        </is>
      </c>
      <c r="C20" s="17" t="inlineStr">
        <is>
          <t>mm⁴</t>
        </is>
      </c>
      <c r="D20" s="23" t="n">
        <v>1710000</v>
      </c>
      <c r="K20" s="17" t="inlineStr">
        <is>
          <t>Ib</t>
        </is>
      </c>
      <c r="L20" s="24" t="inlineStr">
        <is>
          <t>dato ingresado</t>
        </is>
      </c>
    </row>
    <row r="21">
      <c r="A21" s="17" t="n">
        <v>14</v>
      </c>
      <c r="B21" s="8" t="inlineStr">
        <is>
          <t>Altura IPE 100</t>
        </is>
      </c>
      <c r="C21" s="17" t="inlineStr">
        <is>
          <t>mm</t>
        </is>
      </c>
      <c r="D21" s="25" t="n">
        <v>100</v>
      </c>
      <c r="K21" s="17" t="inlineStr">
        <is>
          <t>hb</t>
        </is>
      </c>
      <c r="L21" s="24" t="inlineStr">
        <is>
          <t>dato ingresado</t>
        </is>
      </c>
    </row>
    <row r="22">
      <c r="A22" s="17" t="n">
        <v>15</v>
      </c>
      <c r="B22" s="8" t="inlineStr">
        <is>
          <t>Ancho de la platabanda</t>
        </is>
      </c>
      <c r="C22" s="17" t="inlineStr">
        <is>
          <t>mm</t>
        </is>
      </c>
      <c r="D22" s="25" t="n">
        <v>150</v>
      </c>
      <c r="K22" s="17" t="inlineStr">
        <is>
          <t>bp</t>
        </is>
      </c>
      <c r="L22" s="24" t="inlineStr">
        <is>
          <t>dato ingresado</t>
        </is>
      </c>
    </row>
    <row r="23">
      <c r="A23" s="17" t="n">
        <v>16</v>
      </c>
      <c r="B23" s="8" t="inlineStr">
        <is>
          <t>Espesor de la platabanda</t>
        </is>
      </c>
      <c r="C23" s="17" t="inlineStr">
        <is>
          <t>mm</t>
        </is>
      </c>
      <c r="D23" s="25" t="n">
        <v>10</v>
      </c>
      <c r="K23" s="17" t="inlineStr">
        <is>
          <t>tp</t>
        </is>
      </c>
      <c r="L23" s="24" t="inlineStr">
        <is>
          <t>dato ingresado</t>
        </is>
      </c>
    </row>
    <row r="24">
      <c r="A24" s="17" t="n">
        <v>17</v>
      </c>
      <c r="B24" s="8" t="inlineStr">
        <is>
          <t>Área del conjunto</t>
        </is>
      </c>
      <c r="C24" s="17" t="inlineStr">
        <is>
          <t>mm²</t>
        </is>
      </c>
      <c r="D24" s="38">
        <f>$D$19+$D$22*$D$23</f>
        <v/>
      </c>
      <c r="K24" s="17" t="inlineStr">
        <is>
          <t>A2</t>
        </is>
      </c>
      <c r="L24" s="24" t="inlineStr">
        <is>
          <t>valor = Ab+bp*tp</t>
        </is>
      </c>
    </row>
    <row r="25">
      <c r="A25" s="17" t="n">
        <v>18</v>
      </c>
      <c r="B25" s="8" t="inlineStr">
        <is>
          <t>Baricentro desde la fibra inferior</t>
        </is>
      </c>
      <c r="C25" s="17" t="inlineStr">
        <is>
          <t>mm</t>
        </is>
      </c>
      <c r="D25" s="26">
        <f>($D$19*$D$21/2+$D$22*$D$23*($D$21+$D$23/2))/$D$24</f>
        <v/>
      </c>
      <c r="K25" s="17" t="inlineStr">
        <is>
          <t>yc2</t>
        </is>
      </c>
      <c r="L25" s="24" t="inlineStr">
        <is>
          <t>valor = (Ab*hb/2+bp*tp*(hb+tp/2))/A2</t>
        </is>
      </c>
    </row>
    <row r="26">
      <c r="A26" s="17" t="n">
        <v>19</v>
      </c>
      <c r="B26" s="8" t="inlineStr">
        <is>
          <t>Ix del conjunto (Steiner)</t>
        </is>
      </c>
      <c r="C26" s="17" t="inlineStr">
        <is>
          <t>mm⁴</t>
        </is>
      </c>
      <c r="D26" s="38">
        <f>$D$20+$D$19*($D$21/2-$D$25)^2+$D$22*$D$23^3/12+$D$22*$D$23*($D$21+$D$23/2-$D$25)^2</f>
        <v/>
      </c>
      <c r="K26" s="17" t="inlineStr">
        <is>
          <t>Is2</t>
        </is>
      </c>
      <c r="L26" s="24" t="inlineStr">
        <is>
          <t>valor = Ib+Ab*(hb/2-yc2)^2+bp*tp^3/12+bp*tp*(hb+tp/2-yc2)^2</t>
        </is>
      </c>
    </row>
    <row r="27">
      <c r="A27" s="17" t="n">
        <v>20</v>
      </c>
      <c r="B27" s="8" t="inlineStr">
        <is>
          <t>Módulo resistente mínimo (fibra inferior)</t>
        </is>
      </c>
      <c r="C27" s="17" t="inlineStr">
        <is>
          <t>mm³</t>
        </is>
      </c>
      <c r="D27" s="38">
        <f>$D$26/$D$25</f>
        <v/>
      </c>
      <c r="K27" s="17" t="inlineStr">
        <is>
          <t>Ss2</t>
        </is>
      </c>
      <c r="L27" s="24" t="inlineStr">
        <is>
          <t>valor = Is2/yc2</t>
        </is>
      </c>
    </row>
    <row r="28">
      <c r="A28" s="17" t="n">
        <v>21</v>
      </c>
      <c r="B28" s="8" t="inlineStr">
        <is>
          <t>Altura del cajón</t>
        </is>
      </c>
      <c r="C28" s="17" t="inlineStr">
        <is>
          <t>mm</t>
        </is>
      </c>
      <c r="D28" s="25" t="n">
        <v>300</v>
      </c>
      <c r="K28" s="17" t="inlineStr">
        <is>
          <t>hc</t>
        </is>
      </c>
      <c r="L28" s="24" t="inlineStr">
        <is>
          <t>dato ingresado</t>
        </is>
      </c>
    </row>
    <row r="29">
      <c r="A29" s="17" t="n">
        <v>22</v>
      </c>
      <c r="B29" s="8" t="inlineStr">
        <is>
          <t>Ancho del cajón</t>
        </is>
      </c>
      <c r="C29" s="17" t="inlineStr">
        <is>
          <t>mm</t>
        </is>
      </c>
      <c r="D29" s="25" t="n">
        <v>200</v>
      </c>
      <c r="K29" s="17" t="inlineStr">
        <is>
          <t>bc</t>
        </is>
      </c>
      <c r="L29" s="24" t="inlineStr">
        <is>
          <t>dato ingresado</t>
        </is>
      </c>
    </row>
    <row r="30">
      <c r="A30" s="17" t="n">
        <v>23</v>
      </c>
      <c r="B30" s="8" t="inlineStr">
        <is>
          <t>Espesor de las almas</t>
        </is>
      </c>
      <c r="C30" s="17" t="inlineStr">
        <is>
          <t>mm</t>
        </is>
      </c>
      <c r="D30" s="25" t="n">
        <v>8</v>
      </c>
      <c r="K30" s="17" t="inlineStr">
        <is>
          <t>twc</t>
        </is>
      </c>
      <c r="L30" s="24" t="inlineStr">
        <is>
          <t>dato ingresado</t>
        </is>
      </c>
    </row>
    <row r="31">
      <c r="A31" s="17" t="n">
        <v>24</v>
      </c>
      <c r="B31" s="8" t="inlineStr">
        <is>
          <t>Espesor de las alas</t>
        </is>
      </c>
      <c r="C31" s="17" t="inlineStr">
        <is>
          <t>mm</t>
        </is>
      </c>
      <c r="D31" s="25" t="n">
        <v>10</v>
      </c>
      <c r="K31" s="17" t="inlineStr">
        <is>
          <t>tfc</t>
        </is>
      </c>
      <c r="L31" s="24" t="inlineStr">
        <is>
          <t>dato ingresado</t>
        </is>
      </c>
    </row>
    <row r="32">
      <c r="A32" s="17" t="n">
        <v>25</v>
      </c>
      <c r="B32" s="8" t="inlineStr">
        <is>
          <t>Área del cajón</t>
        </is>
      </c>
      <c r="C32" s="17" t="inlineStr">
        <is>
          <t>mm²</t>
        </is>
      </c>
      <c r="D32" s="38">
        <f>$D$28*$D$29-($D$28-2*$D$31)*($D$29-2*$D$30)</f>
        <v/>
      </c>
      <c r="K32" s="17" t="inlineStr">
        <is>
          <t>A3</t>
        </is>
      </c>
      <c r="L32" s="24" t="inlineStr">
        <is>
          <t>valor = hc*bc-(hc-2*tfc)*(bc-2*twc)</t>
        </is>
      </c>
    </row>
    <row r="33">
      <c r="A33" s="17" t="n">
        <v>26</v>
      </c>
      <c r="B33" s="8" t="inlineStr">
        <is>
          <t>Ix del cajón</t>
        </is>
      </c>
      <c r="C33" s="17" t="inlineStr">
        <is>
          <t>mm⁴</t>
        </is>
      </c>
      <c r="D33" s="27">
        <f>($D$29*$D$28^3-($D$29-2*$D$30)*($D$28-2*$D$31)^3)/12</f>
        <v/>
      </c>
      <c r="K33" s="17" t="inlineStr">
        <is>
          <t>Is3</t>
        </is>
      </c>
      <c r="L33" s="24" t="inlineStr">
        <is>
          <t>valor = (bc*hc^3-(bc-2*twc)*(hc-2*tfc)^3)/12</t>
        </is>
      </c>
    </row>
    <row r="34">
      <c r="A34" s="17" t="n">
        <v>27</v>
      </c>
      <c r="B34" s="8" t="inlineStr">
        <is>
          <t>Iy del cajón</t>
        </is>
      </c>
      <c r="C34" s="17" t="inlineStr">
        <is>
          <t>mm⁴</t>
        </is>
      </c>
      <c r="D34" s="27">
        <f>($D$28*$D$29^3-($D$28-2*$D$31)*($D$29-2*$D$30)^3)/12</f>
        <v/>
      </c>
      <c r="K34" s="17" t="inlineStr">
        <is>
          <t>Iw3</t>
        </is>
      </c>
      <c r="L34" s="24" t="inlineStr">
        <is>
          <t>valor = (hc*bc^3-(hc-2*tfc)*(bc-2*twc)^3)/12</t>
        </is>
      </c>
    </row>
    <row r="35">
      <c r="A35" s="17" t="n">
        <v>28</v>
      </c>
      <c r="B35" s="8" t="inlineStr">
        <is>
          <t>Área encerrada por la línea media</t>
        </is>
      </c>
      <c r="C35" s="17" t="inlineStr">
        <is>
          <t>mm²</t>
        </is>
      </c>
      <c r="D35" s="38">
        <f>($D$29-$D$30)*($D$28-$D$31)</f>
        <v/>
      </c>
      <c r="K35" s="17" t="inlineStr">
        <is>
          <t>Am</t>
        </is>
      </c>
      <c r="L35" s="24" t="inlineStr">
        <is>
          <t>valor = (bc-twc)*(hc-tfc)</t>
        </is>
      </c>
    </row>
    <row r="36">
      <c r="A36" s="17" t="n">
        <v>29</v>
      </c>
      <c r="B36" s="8" t="inlineStr">
        <is>
          <t>Constante de torsión de Bredt-Batho</t>
        </is>
      </c>
      <c r="C36" s="17" t="inlineStr">
        <is>
          <t>mm⁴</t>
        </is>
      </c>
      <c r="D36" s="27">
        <f>4*$D$35^2/(2*($D$29-$D$30)/$D$31+2*($D$28-$D$31)/$D$30)</f>
        <v/>
      </c>
      <c r="K36" s="17" t="inlineStr">
        <is>
          <t>J3</t>
        </is>
      </c>
      <c r="L36" s="24" t="inlineStr">
        <is>
          <t>valor = 4*Am^2/(2*(bc-twc)/tfc+2*(hc-tfc)/twc)</t>
        </is>
      </c>
    </row>
    <row r="38">
      <c r="A38" s="22" t="inlineStr">
        <is>
          <t>COMPARACIÓN: TEORÍA / DATO PUBLICADO  vs  PROGRAMA (Atlas Estructuras 3D)</t>
        </is>
      </c>
      <c r="B38" s="22" t="n"/>
      <c r="C38" s="22" t="n"/>
      <c r="D38" s="22" t="n"/>
      <c r="E38" s="22" t="n"/>
      <c r="F38" s="22" t="n"/>
      <c r="G38" s="22" t="n"/>
      <c r="H38" s="22" t="n"/>
      <c r="I38" s="22" t="n"/>
      <c r="J38" s="22" t="n"/>
      <c r="K38" s="22" t="n"/>
      <c r="L38" s="22" t="n"/>
      <c r="M38" s="22" t="n"/>
      <c r="N38" s="22" t="n"/>
    </row>
    <row r="39" ht="30" customHeight="1">
      <c r="A39" s="5" t="inlineStr">
        <is>
          <t>#</t>
        </is>
      </c>
      <c r="B39" s="5" t="inlineStr">
        <is>
          <t>Comprobación</t>
        </is>
      </c>
      <c r="C39" s="5" t="inlineStr">
        <is>
          <t>Unidad</t>
        </is>
      </c>
      <c r="D39" s="5" t="inlineStr">
        <is>
          <t>Teoría / publicado</t>
        </is>
      </c>
      <c r="E39" s="5" t="inlineStr">
        <is>
          <t>Programa</t>
        </is>
      </c>
      <c r="F39" s="5" t="inlineStr">
        <is>
          <t>Diferencia (prog. − teoría)</t>
        </is>
      </c>
      <c r="G39" s="5" t="inlineStr">
        <is>
          <t>Error relativo</t>
        </is>
      </c>
      <c r="H39" s="5" t="inlineStr">
        <is>
          <t>Tol. relativa</t>
        </is>
      </c>
      <c r="I39" s="5" t="inlineStr">
        <is>
          <t>Tol. absoluta</t>
        </is>
      </c>
      <c r="J39" s="5" t="inlineStr">
        <is>
          <t>Estado</t>
        </is>
      </c>
      <c r="K39" s="5" t="inlineStr">
        <is>
          <t>Origen</t>
        </is>
      </c>
      <c r="L39" s="5" t="inlineStr">
        <is>
          <t>Expresión de la teoría (texto)</t>
        </is>
      </c>
      <c r="M39" s="5" t="inlineStr">
        <is>
          <t>Dónde se lee en el programa</t>
        </is>
      </c>
      <c r="N39" s="5" t="inlineStr">
        <is>
          <t>Nota</t>
        </is>
      </c>
    </row>
    <row r="40" ht="28" customHeight="1">
      <c r="A40" s="17" t="n">
        <v>1</v>
      </c>
      <c r="B40" s="8" t="inlineStr">
        <is>
          <t>(1) PS: área</t>
        </is>
      </c>
      <c r="C40" s="17" t="inlineStr">
        <is>
          <t>mm²</t>
        </is>
      </c>
      <c r="D40" s="38">
        <f>$D$13</f>
        <v/>
      </c>
      <c r="E40" s="23" t="n">
        <v>4800</v>
      </c>
      <c r="F40" s="27">
        <f>E40-D40</f>
        <v/>
      </c>
      <c r="G40" s="28">
        <f>IF(ABS(D40)&gt;0.000000000001,F40/D40,"—")</f>
        <v/>
      </c>
      <c r="H40" s="29" t="n">
        <v>1e-06</v>
      </c>
      <c r="I40" s="30" t="n">
        <v>1e-06</v>
      </c>
      <c r="J40" s="31">
        <f>IF(ABS(F40)&lt;=MAX(H40*ABS(D40),I40),"OK","NO")</f>
        <v/>
      </c>
      <c r="K40" s="17" t="inlineStr">
        <is>
          <t>Fórmula</t>
        </is>
      </c>
      <c r="L40" s="9" t="inlineStr">
        <is>
          <t>A1</t>
        </is>
      </c>
      <c r="M40" s="9" t="inlineStr">
        <is>
          <t>Barra 1: propiedad de la sección «A» calculada por el programa</t>
        </is>
      </c>
      <c r="N40" s="9" t="inlineStr"/>
    </row>
    <row r="41" ht="28" customHeight="1">
      <c r="A41" s="17" t="n">
        <v>2</v>
      </c>
      <c r="B41" s="8" t="inlineStr">
        <is>
          <t>(1) PS: inercia Ix</t>
        </is>
      </c>
      <c r="C41" s="17" t="inlineStr">
        <is>
          <t>mm⁴</t>
        </is>
      </c>
      <c r="D41" s="27">
        <f>$D$14</f>
        <v/>
      </c>
      <c r="E41" s="35" t="n">
        <v>85600000</v>
      </c>
      <c r="F41" s="27">
        <f>E41-D41</f>
        <v/>
      </c>
      <c r="G41" s="28">
        <f>IF(ABS(D41)&gt;0.000000000001,F41/D41,"—")</f>
        <v/>
      </c>
      <c r="H41" s="29" t="n">
        <v>1e-06</v>
      </c>
      <c r="I41" s="30" t="n">
        <v>1e-06</v>
      </c>
      <c r="J41" s="31">
        <f>IF(ABS(F41)&lt;=MAX(H41*ABS(D41),I41),"OK","NO")</f>
        <v/>
      </c>
      <c r="K41" s="17" t="inlineStr">
        <is>
          <t>Fórmula</t>
        </is>
      </c>
      <c r="L41" s="9" t="inlineStr">
        <is>
          <t>Is1</t>
        </is>
      </c>
      <c r="M41" s="9" t="inlineStr">
        <is>
          <t>Barra 1: propiedad de la sección «Is» calculada por el programa</t>
        </is>
      </c>
      <c r="N41" s="9" t="inlineStr"/>
    </row>
    <row r="42" ht="28" customHeight="1">
      <c r="A42" s="17" t="n">
        <v>3</v>
      </c>
      <c r="B42" s="8" t="inlineStr">
        <is>
          <t>(1) PS: inercia Iy</t>
        </is>
      </c>
      <c r="C42" s="17" t="inlineStr">
        <is>
          <t>mm⁴</t>
        </is>
      </c>
      <c r="D42" s="38">
        <f>$D$15</f>
        <v/>
      </c>
      <c r="E42" s="23" t="n">
        <v>5630400</v>
      </c>
      <c r="F42" s="27">
        <f>E42-D42</f>
        <v/>
      </c>
      <c r="G42" s="28">
        <f>IF(ABS(D42)&gt;0.000000000001,F42/D42,"—")</f>
        <v/>
      </c>
      <c r="H42" s="29" t="n">
        <v>1e-06</v>
      </c>
      <c r="I42" s="30" t="n">
        <v>1e-06</v>
      </c>
      <c r="J42" s="31">
        <f>IF(ABS(F42)&lt;=MAX(H42*ABS(D42),I42),"OK","NO")</f>
        <v/>
      </c>
      <c r="K42" s="17" t="inlineStr">
        <is>
          <t>Fórmula</t>
        </is>
      </c>
      <c r="L42" s="9" t="inlineStr">
        <is>
          <t>Iw1</t>
        </is>
      </c>
      <c r="M42" s="9" t="inlineStr">
        <is>
          <t>Barra 1: propiedad de la sección «Iw» calculada por el programa</t>
        </is>
      </c>
      <c r="N42" s="9" t="inlineStr"/>
    </row>
    <row r="43" ht="28" customHeight="1">
      <c r="A43" s="17" t="n">
        <v>4</v>
      </c>
      <c r="B43" s="8" t="inlineStr">
        <is>
          <t>(1) PS: módulo plástico Zx</t>
        </is>
      </c>
      <c r="C43" s="17" t="inlineStr">
        <is>
          <t>mm³</t>
        </is>
      </c>
      <c r="D43" s="38">
        <f>$D$16</f>
        <v/>
      </c>
      <c r="E43" s="23" t="n">
        <v>600000</v>
      </c>
      <c r="F43" s="27">
        <f>E43-D43</f>
        <v/>
      </c>
      <c r="G43" s="28">
        <f>IF(ABS(D43)&gt;0.000000000001,F43/D43,"—")</f>
        <v/>
      </c>
      <c r="H43" s="29" t="n">
        <v>1e-06</v>
      </c>
      <c r="I43" s="30" t="n">
        <v>1e-06</v>
      </c>
      <c r="J43" s="31">
        <f>IF(ABS(F43)&lt;=MAX(H43*ABS(D43),I43),"OK","NO")</f>
        <v/>
      </c>
      <c r="K43" s="17" t="inlineStr">
        <is>
          <t>Fórmula</t>
        </is>
      </c>
      <c r="L43" s="9" t="inlineStr">
        <is>
          <t>Zs1</t>
        </is>
      </c>
      <c r="M43" s="9" t="inlineStr">
        <is>
          <t>Barra 1: propiedad de la sección «Zs» calculada por el programa</t>
        </is>
      </c>
      <c r="N43" s="9" t="inlineStr"/>
    </row>
    <row r="44" ht="28" customHeight="1">
      <c r="A44" s="17" t="n">
        <v>5</v>
      </c>
      <c r="B44" s="8" t="inlineStr">
        <is>
          <t>(1) PS: constante de torsión J = Σ b·t³/3</t>
        </is>
      </c>
      <c r="C44" s="17" t="inlineStr">
        <is>
          <t>mm⁴</t>
        </is>
      </c>
      <c r="D44" s="38">
        <f>$D$17</f>
        <v/>
      </c>
      <c r="E44" s="23" t="n">
        <v>121600</v>
      </c>
      <c r="F44" s="27">
        <f>E44-D44</f>
        <v/>
      </c>
      <c r="G44" s="28">
        <f>IF(ABS(D44)&gt;0.000000000001,F44/D44,"—")</f>
        <v/>
      </c>
      <c r="H44" s="29" t="n">
        <v>1e-06</v>
      </c>
      <c r="I44" s="30" t="n">
        <v>1e-06</v>
      </c>
      <c r="J44" s="31">
        <f>IF(ABS(F44)&lt;=MAX(H44*ABS(D44),I44),"OK","NO")</f>
        <v/>
      </c>
      <c r="K44" s="17" t="inlineStr">
        <is>
          <t>Fórmula</t>
        </is>
      </c>
      <c r="L44" s="9" t="inlineStr">
        <is>
          <t>J1</t>
        </is>
      </c>
      <c r="M44" s="9" t="inlineStr">
        <is>
          <t>Barra 1: propiedad de la sección «J» calculada por el programa</t>
        </is>
      </c>
      <c r="N44" s="9" t="inlineStr"/>
    </row>
    <row r="45" ht="28" customHeight="1">
      <c r="A45" s="17" t="n">
        <v>6</v>
      </c>
      <c r="B45" s="8" t="inlineStr">
        <is>
          <t>(1) PS: alabeo Cw</t>
        </is>
      </c>
      <c r="C45" s="17" t="inlineStr">
        <is>
          <t>mm⁶</t>
        </is>
      </c>
      <c r="D45" s="27">
        <f>$D$18</f>
        <v/>
      </c>
      <c r="E45" s="35" t="n">
        <v>135140625000</v>
      </c>
      <c r="F45" s="27">
        <f>E45-D45</f>
        <v/>
      </c>
      <c r="G45" s="28">
        <f>IF(ABS(D45)&gt;0.000000000001,F45/D45,"—")</f>
        <v/>
      </c>
      <c r="H45" s="29" t="n">
        <v>1e-06</v>
      </c>
      <c r="I45" s="30" t="n">
        <v>1e-06</v>
      </c>
      <c r="J45" s="31">
        <f>IF(ABS(F45)&lt;=MAX(H45*ABS(D45),I45),"OK","NO")</f>
        <v/>
      </c>
      <c r="K45" s="17" t="inlineStr">
        <is>
          <t>Fórmula</t>
        </is>
      </c>
      <c r="L45" s="9" t="inlineStr">
        <is>
          <t>Cw1</t>
        </is>
      </c>
      <c r="M45" s="9" t="inlineStr">
        <is>
          <t>Barra 1: propiedad de la sección «Cw» calculada por el programa</t>
        </is>
      </c>
      <c r="N45" s="9" t="inlineStr"/>
    </row>
    <row r="46" ht="28" customHeight="1">
      <c r="A46" s="17" t="n">
        <v>7</v>
      </c>
      <c r="B46" s="8" t="inlineStr">
        <is>
          <t>(2) IPE 100 + PL: área</t>
        </is>
      </c>
      <c r="C46" s="17" t="inlineStr">
        <is>
          <t>mm²</t>
        </is>
      </c>
      <c r="D46" s="38">
        <f>$D$24</f>
        <v/>
      </c>
      <c r="E46" s="23" t="n">
        <v>2530</v>
      </c>
      <c r="F46" s="27">
        <f>E46-D46</f>
        <v/>
      </c>
      <c r="G46" s="28">
        <f>IF(ABS(D46)&gt;0.000000000001,F46/D46,"—")</f>
        <v/>
      </c>
      <c r="H46" s="29" t="n">
        <v>1e-06</v>
      </c>
      <c r="I46" s="30" t="n">
        <v>1e-06</v>
      </c>
      <c r="J46" s="31">
        <f>IF(ABS(F46)&lt;=MAX(H46*ABS(D46),I46),"OK","NO")</f>
        <v/>
      </c>
      <c r="K46" s="17" t="inlineStr">
        <is>
          <t>Fórmula</t>
        </is>
      </c>
      <c r="L46" s="9" t="inlineStr">
        <is>
          <t>A2</t>
        </is>
      </c>
      <c r="M46" s="9" t="inlineStr">
        <is>
          <t>Barra 2: propiedad de la sección «A» calculada por el programa</t>
        </is>
      </c>
      <c r="N46" s="9" t="inlineStr"/>
    </row>
    <row r="47" ht="28" customHeight="1">
      <c r="A47" s="17" t="n">
        <v>8</v>
      </c>
      <c r="B47" s="8" t="inlineStr">
        <is>
          <t>(2) IPE 100 + PL: baricentro</t>
        </is>
      </c>
      <c r="C47" s="17" t="inlineStr">
        <is>
          <t>mm</t>
        </is>
      </c>
      <c r="D47" s="26">
        <f>$D$25</f>
        <v/>
      </c>
      <c r="E47" s="25" t="n">
        <v>82.60869565217391</v>
      </c>
      <c r="F47" s="27">
        <f>E47-D47</f>
        <v/>
      </c>
      <c r="G47" s="28">
        <f>IF(ABS(D47)&gt;0.000000000001,F47/D47,"—")</f>
        <v/>
      </c>
      <c r="H47" s="29" t="n">
        <v>1e-06</v>
      </c>
      <c r="I47" s="30" t="n">
        <v>1e-06</v>
      </c>
      <c r="J47" s="31">
        <f>IF(ABS(F47)&lt;=MAX(H47*ABS(D47),I47),"OK","NO")</f>
        <v/>
      </c>
      <c r="K47" s="17" t="inlineStr">
        <is>
          <t>Fórmula</t>
        </is>
      </c>
      <c r="L47" s="9" t="inlineStr">
        <is>
          <t>yc2</t>
        </is>
      </c>
      <c r="M47" s="9" t="inlineStr">
        <is>
          <t>Barra 2: propiedad de la sección «yc» calculada por el programa</t>
        </is>
      </c>
      <c r="N47" s="9" t="inlineStr"/>
    </row>
    <row r="48" ht="28" customHeight="1">
      <c r="A48" s="17" t="n">
        <v>9</v>
      </c>
      <c r="B48" s="8" t="inlineStr">
        <is>
          <t>(2) IPE 100 + PL: inercia Ix (Steiner)</t>
        </is>
      </c>
      <c r="C48" s="17" t="inlineStr">
        <is>
          <t>mm⁴</t>
        </is>
      </c>
      <c r="D48" s="38">
        <f>$D$26</f>
        <v/>
      </c>
      <c r="E48" s="23" t="n">
        <v>3569782.608695652</v>
      </c>
      <c r="F48" s="27">
        <f>E48-D48</f>
        <v/>
      </c>
      <c r="G48" s="28">
        <f>IF(ABS(D48)&gt;0.000000000001,F48/D48,"—")</f>
        <v/>
      </c>
      <c r="H48" s="29" t="n">
        <v>1e-06</v>
      </c>
      <c r="I48" s="30" t="n">
        <v>1e-06</v>
      </c>
      <c r="J48" s="31">
        <f>IF(ABS(F48)&lt;=MAX(H48*ABS(D48),I48),"OK","NO")</f>
        <v/>
      </c>
      <c r="K48" s="17" t="inlineStr">
        <is>
          <t>Fórmula</t>
        </is>
      </c>
      <c r="L48" s="9" t="inlineStr">
        <is>
          <t>Is2</t>
        </is>
      </c>
      <c r="M48" s="9" t="inlineStr">
        <is>
          <t>Barra 2: propiedad de la sección «Is» calculada por el programa</t>
        </is>
      </c>
      <c r="N48" s="9" t="inlineStr"/>
    </row>
    <row r="49" ht="28" customHeight="1">
      <c r="A49" s="17" t="n">
        <v>10</v>
      </c>
      <c r="B49" s="8" t="inlineStr">
        <is>
          <t>(2) IPE 100 + PL: módulo resistente mínimo</t>
        </is>
      </c>
      <c r="C49" s="17" t="inlineStr">
        <is>
          <t>mm³</t>
        </is>
      </c>
      <c r="D49" s="38">
        <f>$D$27</f>
        <v/>
      </c>
      <c r="E49" s="23" t="n">
        <v>43213.15789473684</v>
      </c>
      <c r="F49" s="27">
        <f>E49-D49</f>
        <v/>
      </c>
      <c r="G49" s="28">
        <f>IF(ABS(D49)&gt;0.000000000001,F49/D49,"—")</f>
        <v/>
      </c>
      <c r="H49" s="29" t="n">
        <v>1e-06</v>
      </c>
      <c r="I49" s="30" t="n">
        <v>1e-06</v>
      </c>
      <c r="J49" s="31">
        <f>IF(ABS(F49)&lt;=MAX(H49*ABS(D49),I49),"OK","NO")</f>
        <v/>
      </c>
      <c r="K49" s="17" t="inlineStr">
        <is>
          <t>Fórmula</t>
        </is>
      </c>
      <c r="L49" s="9" t="inlineStr">
        <is>
          <t>Ss2</t>
        </is>
      </c>
      <c r="M49" s="9" t="inlineStr">
        <is>
          <t>Barra 2: propiedad de la sección «Ss» calculada por el programa</t>
        </is>
      </c>
      <c r="N49" s="9" t="inlineStr"/>
    </row>
    <row r="50" ht="28" customHeight="1">
      <c r="A50" s="17" t="n">
        <v>11</v>
      </c>
      <c r="B50" s="8" t="inlineStr">
        <is>
          <t>(3) Cajón: área</t>
        </is>
      </c>
      <c r="C50" s="17" t="inlineStr">
        <is>
          <t>mm²</t>
        </is>
      </c>
      <c r="D50" s="38">
        <f>$D$32</f>
        <v/>
      </c>
      <c r="E50" s="23" t="n">
        <v>8480</v>
      </c>
      <c r="F50" s="27">
        <f>E50-D50</f>
        <v/>
      </c>
      <c r="G50" s="28">
        <f>IF(ABS(D50)&gt;0.000000000001,F50/D50,"—")</f>
        <v/>
      </c>
      <c r="H50" s="29" t="n">
        <v>1e-06</v>
      </c>
      <c r="I50" s="30" t="n">
        <v>1e-06</v>
      </c>
      <c r="J50" s="31">
        <f>IF(ABS(F50)&lt;=MAX(H50*ABS(D50),I50),"OK","NO")</f>
        <v/>
      </c>
      <c r="K50" s="17" t="inlineStr">
        <is>
          <t>Fórmula</t>
        </is>
      </c>
      <c r="L50" s="9" t="inlineStr">
        <is>
          <t>A3</t>
        </is>
      </c>
      <c r="M50" s="9" t="inlineStr">
        <is>
          <t>Barra 3: propiedad de la sección «A» calculada por el programa</t>
        </is>
      </c>
      <c r="N50" s="9" t="inlineStr"/>
    </row>
    <row r="51" ht="28" customHeight="1">
      <c r="A51" s="17" t="n">
        <v>12</v>
      </c>
      <c r="B51" s="8" t="inlineStr">
        <is>
          <t>(3) Cajón: inercia Ix</t>
        </is>
      </c>
      <c r="C51" s="17" t="inlineStr">
        <is>
          <t>mm⁴</t>
        </is>
      </c>
      <c r="D51" s="27">
        <f>$D$33</f>
        <v/>
      </c>
      <c r="E51" s="35" t="n">
        <v>113402666.6666667</v>
      </c>
      <c r="F51" s="27">
        <f>E51-D51</f>
        <v/>
      </c>
      <c r="G51" s="28">
        <f>IF(ABS(D51)&gt;0.000000000001,F51/D51,"—")</f>
        <v/>
      </c>
      <c r="H51" s="29" t="n">
        <v>1e-06</v>
      </c>
      <c r="I51" s="30" t="n">
        <v>1e-06</v>
      </c>
      <c r="J51" s="31">
        <f>IF(ABS(F51)&lt;=MAX(H51*ABS(D51),I51),"OK","NO")</f>
        <v/>
      </c>
      <c r="K51" s="17" t="inlineStr">
        <is>
          <t>Fórmula</t>
        </is>
      </c>
      <c r="L51" s="9" t="inlineStr">
        <is>
          <t>Is3</t>
        </is>
      </c>
      <c r="M51" s="9" t="inlineStr">
        <is>
          <t>Barra 3: propiedad de la sección «Is» calculada por el programa</t>
        </is>
      </c>
      <c r="N51" s="9" t="inlineStr"/>
    </row>
    <row r="52" ht="28" customHeight="1">
      <c r="A52" s="17" t="n">
        <v>13</v>
      </c>
      <c r="B52" s="8" t="inlineStr">
        <is>
          <t>(3) Cajón: inercia Iy</t>
        </is>
      </c>
      <c r="C52" s="17" t="inlineStr">
        <is>
          <t>mm⁴</t>
        </is>
      </c>
      <c r="D52" s="27">
        <f>$D$34</f>
        <v/>
      </c>
      <c r="E52" s="35" t="n">
        <v>54644906.66666666</v>
      </c>
      <c r="F52" s="27">
        <f>E52-D52</f>
        <v/>
      </c>
      <c r="G52" s="28">
        <f>IF(ABS(D52)&gt;0.000000000001,F52/D52,"—")</f>
        <v/>
      </c>
      <c r="H52" s="29" t="n">
        <v>1e-06</v>
      </c>
      <c r="I52" s="30" t="n">
        <v>1e-06</v>
      </c>
      <c r="J52" s="31">
        <f>IF(ABS(F52)&lt;=MAX(H52*ABS(D52),I52),"OK","NO")</f>
        <v/>
      </c>
      <c r="K52" s="17" t="inlineStr">
        <is>
          <t>Fórmula</t>
        </is>
      </c>
      <c r="L52" s="9" t="inlineStr">
        <is>
          <t>Iw3</t>
        </is>
      </c>
      <c r="M52" s="9" t="inlineStr">
        <is>
          <t>Barra 3: propiedad de la sección «Iw» calculada por el programa</t>
        </is>
      </c>
      <c r="N52" s="9" t="inlineStr"/>
    </row>
    <row r="53" ht="28" customHeight="1">
      <c r="A53" s="17" t="n">
        <v>14</v>
      </c>
      <c r="B53" s="8" t="inlineStr">
        <is>
          <t>(3) Cajón: constante de torsión (Bredt-Batho)</t>
        </is>
      </c>
      <c r="C53" s="17" t="inlineStr">
        <is>
          <t>mm⁴</t>
        </is>
      </c>
      <c r="D53" s="27">
        <f>$D$36</f>
        <v/>
      </c>
      <c r="E53" s="35" t="n">
        <v>111821908.025248</v>
      </c>
      <c r="F53" s="27">
        <f>E53-D53</f>
        <v/>
      </c>
      <c r="G53" s="28">
        <f>IF(ABS(D53)&gt;0.000000000001,F53/D53,"—")</f>
        <v/>
      </c>
      <c r="H53" s="29" t="n">
        <v>1e-06</v>
      </c>
      <c r="I53" s="30" t="n">
        <v>1e-06</v>
      </c>
      <c r="J53" s="31">
        <f>IF(ABS(F53)&lt;=MAX(H53*ABS(D53),I53),"OK","NO")</f>
        <v/>
      </c>
      <c r="K53" s="17" t="inlineStr">
        <is>
          <t>Fórmula</t>
        </is>
      </c>
      <c r="L53" s="9" t="inlineStr">
        <is>
          <t>J3</t>
        </is>
      </c>
      <c r="M53" s="9" t="inlineStr">
        <is>
          <t>Barra 3: propiedad de la sección «J» calculada por el programa</t>
        </is>
      </c>
      <c r="N53" s="9" t="inlineStr"/>
    </row>
    <row r="55">
      <c r="B55" s="4" t="inlineStr">
        <is>
          <t>Comprobaciones dentro de tolerancia</t>
        </is>
      </c>
      <c r="D55" s="4">
        <f>COUNTIF(J40:J53,"OK")</f>
        <v/>
      </c>
      <c r="E55" s="4">
        <f>ROWS(J40:J53)</f>
        <v/>
      </c>
      <c r="F55" s="4">
        <f>IF(D55=E55,"VERIFICA","DIFIERE")</f>
        <v/>
      </c>
    </row>
    <row r="56">
      <c r="B56" s="2" t="inlineStr">
        <is>
          <t>Azul = dato ingresado o valor que entregó el programa (pegado); negro = fórmula de Excel. El valor «Programa» es el resultado del motor de cálculo de la app para el mismo modelo.</t>
        </is>
      </c>
    </row>
  </sheetData>
  <mergeCells count="2">
    <mergeCell ref="A3:L3"/>
    <mergeCell ref="A4:L4"/>
  </mergeCells>
  <conditionalFormatting sqref="J40:J53">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39.xml><?xml version="1.0" encoding="utf-8"?>
<worksheet xmlns="http://schemas.openxmlformats.org/spreadsheetml/2006/main">
  <sheetPr>
    <outlinePr summaryBelow="1" summaryRight="1"/>
    <pageSetUpPr fitToPage="1"/>
  </sheetPr>
  <dimension ref="A1:N44"/>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N13 · Segundo orden: voladizo y viga biapoyada comprimidos (solución exacta de la viga-columna)</t>
        </is>
      </c>
    </row>
    <row r="2">
      <c r="A2" s="2" t="inlineStr">
        <is>
          <t>Solución clásica.  Fuente: Soluciones clásicas: Timoshenko «Resistencia de materiales» y «Theory of Elastic Stability» (Timoshenko &amp; Gere), Roark «Formulas for Stress and Strain», método de pendiente-deflexión, Ghali &amp; Neville «Structural Analysis» (efectos térmicos y asentamientos)</t>
        </is>
      </c>
    </row>
    <row r="3" ht="67.5" customHeight="1">
      <c r="A3" s="14" t="inlineStr">
        <is>
          <t>Enunciado. Análisis de segundo orden activado (P-Δ y P-δ, funciones de estabilidad exactas, sin amplificadores B1/B2). Se usa un caño CHS 200×6 para que la rigidez sea la misma en los dos ejes y no pandee primero por el eje débil. (1) Voladizo de 3,00 m con compresión P = 0,6·Pe (Pe = π²EI/(4L²)) y carga lateral H en la punta: δ = (H/(P·k))·(tan kL − kL) y M_base = H·tan(kL)/k, con k = √(P/EI); por primer orden serían H·L³/(3EI) y H·L. (2) Viga biapoyada de 5,00 m con compresión P = 0,5·Pe (Pe = π²EI/L²) y carga uniforme w: M_max = (w·EI/P)·(sec u − 1) y δ_max = (w·EI/P²)·(sec u − 1) − w·L²/(8P), con u = (L/2)·√(P/EI); por primer orden serían wL²/8 y 5wL⁴/(384EI).</t>
        </is>
      </c>
    </row>
    <row r="4" ht="28" customHeight="1">
      <c r="A4" s="14" t="inlineStr">
        <is>
          <t>Perfil. CHS 200×6: A = 3 598 mm², I = (π/64)·(D⁴ − d⁴), igual en los dos ejes.</t>
        </is>
      </c>
    </row>
    <row r="6">
      <c r="A6" s="22" t="inlineStr">
        <is>
          <t>DATOS DEL EJERCICIO</t>
        </is>
      </c>
      <c r="B6" s="22" t="n"/>
      <c r="C6" s="22" t="n"/>
      <c r="D6" s="22" t="n"/>
      <c r="E6" s="22" t="n"/>
      <c r="F6" s="22" t="n"/>
      <c r="G6" s="22" t="n"/>
      <c r="H6" s="22" t="n"/>
      <c r="I6" s="22" t="n"/>
      <c r="J6" s="22" t="n"/>
      <c r="K6" s="22" t="n"/>
      <c r="L6" s="22" t="n"/>
      <c r="M6" s="22" t="n"/>
      <c r="N6" s="22" t="n"/>
    </row>
    <row r="7">
      <c r="A7" s="5" t="inlineStr">
        <is>
          <t>#</t>
        </is>
      </c>
      <c r="B7" s="5" t="inlineStr">
        <is>
          <t>Dato</t>
        </is>
      </c>
      <c r="C7" s="5" t="inlineStr">
        <is>
          <t>Unidad</t>
        </is>
      </c>
      <c r="D7" s="5" t="inlineStr">
        <is>
          <t>Valor</t>
        </is>
      </c>
      <c r="K7" s="5" t="inlineStr">
        <is>
          <t>Símbolo</t>
        </is>
      </c>
      <c r="L7" s="5" t="inlineStr">
        <is>
          <t>Fórmula (texto)</t>
        </is>
      </c>
    </row>
    <row r="8">
      <c r="A8" s="17" t="n">
        <v>1</v>
      </c>
      <c r="B8" s="8" t="inlineStr">
        <is>
          <t>Módulo elástico</t>
        </is>
      </c>
      <c r="C8" s="17" t="inlineStr">
        <is>
          <t>MPa</t>
        </is>
      </c>
      <c r="D8" s="23" t="n">
        <v>200000</v>
      </c>
      <c r="K8" s="17" t="inlineStr">
        <is>
          <t>E</t>
        </is>
      </c>
      <c r="L8" s="24" t="inlineStr">
        <is>
          <t>dato ingresado</t>
        </is>
      </c>
    </row>
    <row r="9">
      <c r="A9" s="17" t="n">
        <v>2</v>
      </c>
      <c r="B9" s="8" t="inlineStr">
        <is>
          <t>Diámetro exterior del caño</t>
        </is>
      </c>
      <c r="C9" s="17" t="inlineStr">
        <is>
          <t>mm</t>
        </is>
      </c>
      <c r="D9" s="25" t="n">
        <v>200</v>
      </c>
      <c r="K9" s="17" t="inlineStr">
        <is>
          <t>Dc</t>
        </is>
      </c>
      <c r="L9" s="24" t="inlineStr">
        <is>
          <t>dato ingresado</t>
        </is>
      </c>
    </row>
    <row r="10">
      <c r="A10" s="17" t="n">
        <v>3</v>
      </c>
      <c r="B10" s="8" t="inlineStr">
        <is>
          <t>Espesor del caño</t>
        </is>
      </c>
      <c r="C10" s="17" t="inlineStr">
        <is>
          <t>mm</t>
        </is>
      </c>
      <c r="D10" s="25" t="n">
        <v>6</v>
      </c>
      <c r="K10" s="17" t="inlineStr">
        <is>
          <t>tc</t>
        </is>
      </c>
      <c r="L10" s="24" t="inlineStr">
        <is>
          <t>dato ingresado</t>
        </is>
      </c>
    </row>
    <row r="11">
      <c r="A11" s="17" t="n">
        <v>4</v>
      </c>
      <c r="B11" s="8" t="inlineStr">
        <is>
          <t>Inercia del caño (ambos ejes)</t>
        </is>
      </c>
      <c r="C11" s="17" t="inlineStr">
        <is>
          <t>mm⁴</t>
        </is>
      </c>
      <c r="D11" s="27">
        <f>PI()/64*($D$9^4-($D$9-2*$D$10)^4)</f>
        <v/>
      </c>
      <c r="K11" s="17" t="inlineStr">
        <is>
          <t>I</t>
        </is>
      </c>
      <c r="L11" s="24" t="inlineStr">
        <is>
          <t>valor = PI()/64*(Dc^4-(Dc-2*tc)^4)</t>
        </is>
      </c>
    </row>
    <row r="12">
      <c r="A12" s="17" t="n">
        <v>5</v>
      </c>
      <c r="B12" s="8" t="inlineStr">
        <is>
          <t>Rigidez a flexión</t>
        </is>
      </c>
      <c r="C12" s="17" t="inlineStr">
        <is>
          <t>N·mm²</t>
        </is>
      </c>
      <c r="D12" s="27">
        <f>$D$8*$D$11</f>
        <v/>
      </c>
      <c r="K12" s="17" t="inlineStr">
        <is>
          <t>EI</t>
        </is>
      </c>
      <c r="L12" s="24" t="inlineStr">
        <is>
          <t>valor = E*I</t>
        </is>
      </c>
    </row>
    <row r="13">
      <c r="A13" s="17" t="n">
        <v>6</v>
      </c>
      <c r="B13" s="8" t="inlineStr">
        <is>
          <t>Largo del voladizo (1)</t>
        </is>
      </c>
      <c r="C13" s="17" t="inlineStr">
        <is>
          <t>mm</t>
        </is>
      </c>
      <c r="D13" s="23" t="n">
        <v>3000</v>
      </c>
      <c r="K13" s="17" t="inlineStr">
        <is>
          <t>L1</t>
        </is>
      </c>
      <c r="L13" s="24" t="inlineStr">
        <is>
          <t>dato ingresado</t>
        </is>
      </c>
    </row>
    <row r="14">
      <c r="A14" s="17" t="n">
        <v>7</v>
      </c>
      <c r="B14" s="8" t="inlineStr">
        <is>
          <t>Carga de Euler del voladizo</t>
        </is>
      </c>
      <c r="C14" s="17" t="inlineStr">
        <is>
          <t>N</t>
        </is>
      </c>
      <c r="D14" s="38">
        <f>PI()^2*$D$12/(4*$D$13^2)</f>
        <v/>
      </c>
      <c r="K14" s="17" t="inlineStr">
        <is>
          <t>Pe1</t>
        </is>
      </c>
      <c r="L14" s="24" t="inlineStr">
        <is>
          <t>valor = PI()^2*EI/(4*L1^2)</t>
        </is>
      </c>
    </row>
    <row r="15">
      <c r="A15" s="17" t="n">
        <v>8</v>
      </c>
      <c r="B15" s="8" t="inlineStr">
        <is>
          <t>Compresión (1)</t>
        </is>
      </c>
      <c r="C15" s="17" t="inlineStr">
        <is>
          <t>kN</t>
        </is>
      </c>
      <c r="D15" s="26">
        <f>0.6*$D$14/1000</f>
        <v/>
      </c>
      <c r="K15" s="17" t="inlineStr">
        <is>
          <t>P1</t>
        </is>
      </c>
      <c r="L15" s="24" t="inlineStr">
        <is>
          <t>valor = 0.6*Pe1/1000</t>
        </is>
      </c>
    </row>
    <row r="16">
      <c r="A16" s="17" t="n">
        <v>9</v>
      </c>
      <c r="B16" s="8" t="inlineStr">
        <is>
          <t>Carga lateral en la punta (1)</t>
        </is>
      </c>
      <c r="C16" s="17" t="inlineStr">
        <is>
          <t>kN</t>
        </is>
      </c>
      <c r="D16" s="25" t="n">
        <v>2</v>
      </c>
      <c r="K16" s="17" t="inlineStr">
        <is>
          <t>H</t>
        </is>
      </c>
      <c r="L16" s="24" t="inlineStr">
        <is>
          <t>dato ingresado</t>
        </is>
      </c>
    </row>
    <row r="17">
      <c r="A17" s="17" t="n">
        <v>10</v>
      </c>
      <c r="B17" s="8" t="inlineStr">
        <is>
          <t>k = √(P/EI)</t>
        </is>
      </c>
      <c r="C17" s="17" t="inlineStr">
        <is>
          <t>1/mm</t>
        </is>
      </c>
      <c r="D17" s="33">
        <f>SQRT($D$15*1000/$D$12)</f>
        <v/>
      </c>
      <c r="K17" s="17" t="inlineStr">
        <is>
          <t>k1</t>
        </is>
      </c>
      <c r="L17" s="24" t="inlineStr">
        <is>
          <t>valor = SQRT(P1*1000/EI)</t>
        </is>
      </c>
    </row>
    <row r="18">
      <c r="A18" s="17" t="n">
        <v>11</v>
      </c>
      <c r="B18" s="8" t="inlineStr">
        <is>
          <t>Flecha de la punta (segundo orden)</t>
        </is>
      </c>
      <c r="C18" s="17" t="inlineStr">
        <is>
          <t>mm</t>
        </is>
      </c>
      <c r="D18" s="26">
        <f>$D$16*1000/($D$15*1000*$D$17)*(TAN($D$17*$D$13)-$D$17*$D$13)</f>
        <v/>
      </c>
      <c r="K18" s="17" t="inlineStr">
        <is>
          <t>d1</t>
        </is>
      </c>
      <c r="L18" s="24" t="inlineStr">
        <is>
          <t>valor = H*1000/(P1*1000*k1)*(TAN(k1*L1)-k1*L1)</t>
        </is>
      </c>
    </row>
    <row r="19">
      <c r="A19" s="17" t="n">
        <v>12</v>
      </c>
      <c r="B19" s="8" t="inlineStr">
        <is>
          <t>Flecha de la punta por primer orden (referencia)</t>
        </is>
      </c>
      <c r="C19" s="17" t="inlineStr">
        <is>
          <t>mm</t>
        </is>
      </c>
      <c r="D19" s="26">
        <f>$D$16*1000*$D$13^3/(3*$D$12)</f>
        <v/>
      </c>
      <c r="K19" s="17" t="inlineStr">
        <is>
          <t>d1p</t>
        </is>
      </c>
      <c r="L19" s="24" t="inlineStr">
        <is>
          <t>valor = H*1000*L1^3/(3*EI)</t>
        </is>
      </c>
    </row>
    <row r="20">
      <c r="A20" s="17" t="n">
        <v>13</v>
      </c>
      <c r="B20" s="8" t="inlineStr">
        <is>
          <t>Momento de base (segundo orden)</t>
        </is>
      </c>
      <c r="C20" s="17" t="inlineStr">
        <is>
          <t>kN·m</t>
        </is>
      </c>
      <c r="D20" s="26">
        <f>$D$16*1000*TAN($D$17*$D$13)/$D$17/1000000</f>
        <v/>
      </c>
      <c r="K20" s="17" t="inlineStr">
        <is>
          <t>M1</t>
        </is>
      </c>
      <c r="L20" s="24" t="inlineStr">
        <is>
          <t>valor = H*1000*TAN(k1*L1)/k1/1000000</t>
        </is>
      </c>
    </row>
    <row r="21">
      <c r="A21" s="17" t="n">
        <v>14</v>
      </c>
      <c r="B21" s="8" t="inlineStr">
        <is>
          <t>Momento de base por primer orden (referencia)</t>
        </is>
      </c>
      <c r="C21" s="17" t="inlineStr">
        <is>
          <t>kN·m</t>
        </is>
      </c>
      <c r="D21" s="26">
        <f>$D$16*$D$13/1000</f>
        <v/>
      </c>
      <c r="K21" s="17" t="inlineStr">
        <is>
          <t>M1p</t>
        </is>
      </c>
      <c r="L21" s="24" t="inlineStr">
        <is>
          <t>valor = H*L1/1000</t>
        </is>
      </c>
    </row>
    <row r="22">
      <c r="A22" s="17" t="n">
        <v>15</v>
      </c>
      <c r="B22" s="8" t="inlineStr">
        <is>
          <t>Luz de la viga (2)</t>
        </is>
      </c>
      <c r="C22" s="17" t="inlineStr">
        <is>
          <t>mm</t>
        </is>
      </c>
      <c r="D22" s="23" t="n">
        <v>5000</v>
      </c>
      <c r="K22" s="17" t="inlineStr">
        <is>
          <t>L2</t>
        </is>
      </c>
      <c r="L22" s="24" t="inlineStr">
        <is>
          <t>dato ingresado</t>
        </is>
      </c>
    </row>
    <row r="23">
      <c r="A23" s="17" t="n">
        <v>16</v>
      </c>
      <c r="B23" s="8" t="inlineStr">
        <is>
          <t>Carga de Euler de la viga</t>
        </is>
      </c>
      <c r="C23" s="17" t="inlineStr">
        <is>
          <t>N</t>
        </is>
      </c>
      <c r="D23" s="38">
        <f>PI()^2*$D$12/$D$22^2</f>
        <v/>
      </c>
      <c r="K23" s="17" t="inlineStr">
        <is>
          <t>Pe2</t>
        </is>
      </c>
      <c r="L23" s="24" t="inlineStr">
        <is>
          <t>valor = PI()^2*EI/L2^2</t>
        </is>
      </c>
    </row>
    <row r="24">
      <c r="A24" s="17" t="n">
        <v>17</v>
      </c>
      <c r="B24" s="8" t="inlineStr">
        <is>
          <t>Compresión (2)</t>
        </is>
      </c>
      <c r="C24" s="17" t="inlineStr">
        <is>
          <t>kN</t>
        </is>
      </c>
      <c r="D24" s="26">
        <f>0.5*$D$23/1000</f>
        <v/>
      </c>
      <c r="K24" s="17" t="inlineStr">
        <is>
          <t>P2</t>
        </is>
      </c>
      <c r="L24" s="24" t="inlineStr">
        <is>
          <t>valor = 0.5*Pe2/1000</t>
        </is>
      </c>
    </row>
    <row r="25">
      <c r="A25" s="17" t="n">
        <v>18</v>
      </c>
      <c r="B25" s="8" t="inlineStr">
        <is>
          <t>Carga uniforme (2)</t>
        </is>
      </c>
      <c r="C25" s="17" t="inlineStr">
        <is>
          <t>kN/m</t>
        </is>
      </c>
      <c r="D25" s="25" t="n">
        <v>6</v>
      </c>
      <c r="K25" s="17" t="inlineStr">
        <is>
          <t>w</t>
        </is>
      </c>
      <c r="L25" s="24" t="inlineStr">
        <is>
          <t>dato ingresado</t>
        </is>
      </c>
    </row>
    <row r="26">
      <c r="A26" s="17" t="n">
        <v>19</v>
      </c>
      <c r="B26" s="8" t="inlineStr">
        <is>
          <t>u = (L/2)·√(P/EI)</t>
        </is>
      </c>
      <c r="C26" s="17" t="inlineStr"/>
      <c r="D26" s="26">
        <f>$D$22/2*SQRT($D$24*1000/$D$12)</f>
        <v/>
      </c>
      <c r="K26" s="17" t="inlineStr">
        <is>
          <t>u2</t>
        </is>
      </c>
      <c r="L26" s="24" t="inlineStr">
        <is>
          <t>valor = L2/2*SQRT(P2*1000/EI)</t>
        </is>
      </c>
    </row>
    <row r="27">
      <c r="A27" s="17" t="n">
        <v>20</v>
      </c>
      <c r="B27" s="8" t="inlineStr">
        <is>
          <t>Momento máximo (segundo orden)</t>
        </is>
      </c>
      <c r="C27" s="17" t="inlineStr">
        <is>
          <t>kN·m</t>
        </is>
      </c>
      <c r="D27" s="26">
        <f>$D$25*$D$12/($D$24*1000)*(1/COS($D$26)-1)/1000000</f>
        <v/>
      </c>
      <c r="K27" s="17" t="inlineStr">
        <is>
          <t>Mmax2</t>
        </is>
      </c>
      <c r="L27" s="24" t="inlineStr">
        <is>
          <t>valor = w*EI/(P2*1000)*(1/COS(u2)-1)/1000000</t>
        </is>
      </c>
    </row>
    <row r="28">
      <c r="A28" s="17" t="n">
        <v>21</v>
      </c>
      <c r="B28" s="8" t="inlineStr">
        <is>
          <t>Momento máximo por primer orden (referencia)</t>
        </is>
      </c>
      <c r="C28" s="17" t="inlineStr">
        <is>
          <t>kN·m</t>
        </is>
      </c>
      <c r="D28" s="26">
        <f>$D$25*$D$22^2/8/1000000</f>
        <v/>
      </c>
      <c r="K28" s="17" t="inlineStr">
        <is>
          <t>Mmax2p</t>
        </is>
      </c>
      <c r="L28" s="24" t="inlineStr">
        <is>
          <t>valor = w*L2^2/8/1000000</t>
        </is>
      </c>
    </row>
    <row r="29">
      <c r="A29" s="17" t="n">
        <v>22</v>
      </c>
      <c r="B29" s="8" t="inlineStr">
        <is>
          <t>Flecha máxima (segundo orden)</t>
        </is>
      </c>
      <c r="C29" s="17" t="inlineStr">
        <is>
          <t>mm</t>
        </is>
      </c>
      <c r="D29" s="26">
        <f>$D$25*$D$12/($D$24*1000)^2*(1/COS($D$26)-1)-$D$25*$D$22^2/(8*$D$24*1000)</f>
        <v/>
      </c>
      <c r="K29" s="17" t="inlineStr">
        <is>
          <t>dmax2</t>
        </is>
      </c>
      <c r="L29" s="24" t="inlineStr">
        <is>
          <t>valor = w*EI/(P2*1000)^2*(1/COS(u2)-1)-w*L2^2/(8*P2*1000)</t>
        </is>
      </c>
    </row>
    <row r="30">
      <c r="A30" s="17" t="n">
        <v>23</v>
      </c>
      <c r="B30" s="8" t="inlineStr">
        <is>
          <t>Flecha máxima por primer orden (referencia)</t>
        </is>
      </c>
      <c r="C30" s="17" t="inlineStr">
        <is>
          <t>mm</t>
        </is>
      </c>
      <c r="D30" s="26">
        <f>5*$D$25*$D$22^4/(384*$D$12)</f>
        <v/>
      </c>
      <c r="K30" s="17" t="inlineStr">
        <is>
          <t>dmax2p</t>
        </is>
      </c>
      <c r="L30" s="24" t="inlineStr">
        <is>
          <t>valor = 5*w*L2^4/(384*EI)</t>
        </is>
      </c>
    </row>
    <row r="32">
      <c r="A32" s="22" t="inlineStr">
        <is>
          <t>COMPARACIÓN: TEORÍA / DATO PUBLICADO  vs  PROGRAMA (Atlas Estructuras 3D)</t>
        </is>
      </c>
      <c r="B32" s="22" t="n"/>
      <c r="C32" s="22" t="n"/>
      <c r="D32" s="22" t="n"/>
      <c r="E32" s="22" t="n"/>
      <c r="F32" s="22" t="n"/>
      <c r="G32" s="22" t="n"/>
      <c r="H32" s="22" t="n"/>
      <c r="I32" s="22" t="n"/>
      <c r="J32" s="22" t="n"/>
      <c r="K32" s="22" t="n"/>
      <c r="L32" s="22" t="n"/>
      <c r="M32" s="22" t="n"/>
      <c r="N32" s="22" t="n"/>
    </row>
    <row r="33" ht="30" customHeight="1">
      <c r="A33" s="5" t="inlineStr">
        <is>
          <t>#</t>
        </is>
      </c>
      <c r="B33" s="5" t="inlineStr">
        <is>
          <t>Comprobación</t>
        </is>
      </c>
      <c r="C33" s="5" t="inlineStr">
        <is>
          <t>Unidad</t>
        </is>
      </c>
      <c r="D33" s="5" t="inlineStr">
        <is>
          <t>Teoría / publicado</t>
        </is>
      </c>
      <c r="E33" s="5" t="inlineStr">
        <is>
          <t>Programa</t>
        </is>
      </c>
      <c r="F33" s="5" t="inlineStr">
        <is>
          <t>Diferencia (prog. − teoría)</t>
        </is>
      </c>
      <c r="G33" s="5" t="inlineStr">
        <is>
          <t>Error relativo</t>
        </is>
      </c>
      <c r="H33" s="5" t="inlineStr">
        <is>
          <t>Tol. relativa</t>
        </is>
      </c>
      <c r="I33" s="5" t="inlineStr">
        <is>
          <t>Tol. absoluta</t>
        </is>
      </c>
      <c r="J33" s="5" t="inlineStr">
        <is>
          <t>Estado</t>
        </is>
      </c>
      <c r="K33" s="5" t="inlineStr">
        <is>
          <t>Origen</t>
        </is>
      </c>
      <c r="L33" s="5" t="inlineStr">
        <is>
          <t>Expresión de la teoría (texto)</t>
        </is>
      </c>
      <c r="M33" s="5" t="inlineStr">
        <is>
          <t>Dónde se lee en el programa</t>
        </is>
      </c>
      <c r="N33" s="5" t="inlineStr">
        <is>
          <t>Nota</t>
        </is>
      </c>
    </row>
    <row r="34" ht="28" customHeight="1">
      <c r="A34" s="17" t="n">
        <v>1</v>
      </c>
      <c r="B34" s="8" t="inlineStr">
        <is>
          <t>(1) Flecha de la punta = (H/(P·k))·(tan kL − kL)</t>
        </is>
      </c>
      <c r="C34" s="17" t="inlineStr">
        <is>
          <t>mm</t>
        </is>
      </c>
      <c r="D34" s="26">
        <f>-$D$18</f>
        <v/>
      </c>
      <c r="E34" s="25" t="n">
        <v>-12.95762311894247</v>
      </c>
      <c r="F34" s="27">
        <f>E34-D34</f>
        <v/>
      </c>
      <c r="G34" s="28">
        <f>IF(ABS(D34)&gt;0.000000000001,F34/D34,"—")</f>
        <v/>
      </c>
      <c r="H34" s="29" t="n">
        <v>0.0001</v>
      </c>
      <c r="I34" s="30" t="n">
        <v>1e-06</v>
      </c>
      <c r="J34" s="31">
        <f>IF(ABS(F34)&lt;=MAX(H34*ABS(D34),I34),"OK","NO")</f>
        <v/>
      </c>
      <c r="K34" s="17" t="inlineStr">
        <is>
          <t>Fórmula</t>
        </is>
      </c>
      <c r="L34" s="9" t="inlineStr">
        <is>
          <t>-d1</t>
        </is>
      </c>
      <c r="M34" s="9" t="inlineStr">
        <is>
          <t>Desplazamiento Uz del nudo 2 · combinación «C1: 1,0·D (segundo orden)»</t>
        </is>
      </c>
      <c r="N34" s="9" t="inlineStr"/>
    </row>
    <row r="35" ht="28" customHeight="1">
      <c r="A35" s="17" t="n">
        <v>2</v>
      </c>
      <c r="B35" s="8" t="inlineStr">
        <is>
          <t>(1) Momento en la base = H·tan(kL)/k</t>
        </is>
      </c>
      <c r="C35" s="17" t="inlineStr">
        <is>
          <t>kN·m</t>
        </is>
      </c>
      <c r="D35" s="26">
        <f>ABS($D$20)</f>
        <v/>
      </c>
      <c r="E35" s="25" t="n">
        <v>13.34066454023047</v>
      </c>
      <c r="F35" s="27">
        <f>E35-D35</f>
        <v/>
      </c>
      <c r="G35" s="28">
        <f>IF(ABS(D35)&gt;0.000000000001,F35/D35,"—")</f>
        <v/>
      </c>
      <c r="H35" s="29" t="n">
        <v>0.0001</v>
      </c>
      <c r="I35" s="30" t="n">
        <v>1e-06</v>
      </c>
      <c r="J35" s="31">
        <f>IF(ABS(F35)&lt;=MAX(H35*ABS(D35),I35),"OK","NO")</f>
        <v/>
      </c>
      <c r="K35" s="17" t="inlineStr">
        <is>
          <t>Fórmula</t>
        </is>
      </c>
      <c r="L35" s="9" t="inlineStr">
        <is>
          <t>M1</t>
        </is>
      </c>
      <c r="M35" s="9" t="inlineStr">
        <is>
          <t>Reacción My en el nudo 1 · combinación «C1: 1,0·D (segundo orden)»</t>
        </is>
      </c>
      <c r="N35" s="9" t="inlineStr">
        <is>
          <t>Se comparan valores absolutos (la convención de signo es independiente del resultado).</t>
        </is>
      </c>
    </row>
    <row r="36" ht="28" customHeight="1">
      <c r="A36" s="17" t="n">
        <v>3</v>
      </c>
      <c r="B36" s="8" t="inlineStr">
        <is>
          <t>(1) Momento en la base leído en la barra (x = 0)</t>
        </is>
      </c>
      <c r="C36" s="17" t="inlineStr">
        <is>
          <t>kN·m</t>
        </is>
      </c>
      <c r="D36" s="26">
        <f>ABS($D$20)</f>
        <v/>
      </c>
      <c r="E36" s="25" t="n">
        <v>13.34066454023047</v>
      </c>
      <c r="F36" s="27">
        <f>E36-D36</f>
        <v/>
      </c>
      <c r="G36" s="28">
        <f>IF(ABS(D36)&gt;0.000000000001,F36/D36,"—")</f>
        <v/>
      </c>
      <c r="H36" s="29" t="n">
        <v>0.0001</v>
      </c>
      <c r="I36" s="30" t="n">
        <v>1e-06</v>
      </c>
      <c r="J36" s="31">
        <f>IF(ABS(F36)&lt;=MAX(H36*ABS(D36),I36),"OK","NO")</f>
        <v/>
      </c>
      <c r="K36" s="17" t="inlineStr">
        <is>
          <t>Fórmula</t>
        </is>
      </c>
      <c r="L36" s="9" t="inlineStr">
        <is>
          <t>M1</t>
        </is>
      </c>
      <c r="M36" s="9" t="inlineStr">
        <is>
          <t>Barra 1, en x = 0·L, momento flector Mz (eje fuerte) · combinación «C1: 1,0·D (segundo orden)»</t>
        </is>
      </c>
      <c r="N36" s="9" t="inlineStr">
        <is>
          <t>Se comparan valores absolutos (la convención de signo es independiente del resultado).</t>
        </is>
      </c>
    </row>
    <row r="37" ht="28" customHeight="1">
      <c r="A37" s="17" t="n">
        <v>4</v>
      </c>
      <c r="B37" s="8" t="inlineStr">
        <is>
          <t>(1) Reacción axial = P</t>
        </is>
      </c>
      <c r="C37" s="17" t="inlineStr">
        <is>
          <t>kN</t>
        </is>
      </c>
      <c r="D37" s="26">
        <f>ABS($D$15)</f>
        <v/>
      </c>
      <c r="E37" s="25" t="n">
        <v>566.5132007236236</v>
      </c>
      <c r="F37" s="27">
        <f>E37-D37</f>
        <v/>
      </c>
      <c r="G37" s="28">
        <f>IF(ABS(D37)&gt;0.000000000001,F37/D37,"—")</f>
        <v/>
      </c>
      <c r="H37" s="29" t="n">
        <v>0.0001</v>
      </c>
      <c r="I37" s="30" t="n">
        <v>1e-06</v>
      </c>
      <c r="J37" s="31">
        <f>IF(ABS(F37)&lt;=MAX(H37*ABS(D37),I37),"OK","NO")</f>
        <v/>
      </c>
      <c r="K37" s="17" t="inlineStr">
        <is>
          <t>Fórmula</t>
        </is>
      </c>
      <c r="L37" s="9" t="inlineStr">
        <is>
          <t>P1</t>
        </is>
      </c>
      <c r="M37" s="9" t="inlineStr">
        <is>
          <t>Reacción Fx en el nudo 1 · combinación «C1: 1,0·D (segundo orden)»</t>
        </is>
      </c>
      <c r="N37" s="9" t="inlineStr">
        <is>
          <t>Se comparan valores absolutos (la convención de signo es independiente del resultado).</t>
        </is>
      </c>
    </row>
    <row r="38" ht="28" customHeight="1">
      <c r="A38" s="17" t="n">
        <v>5</v>
      </c>
      <c r="B38" s="8" t="inlineStr">
        <is>
          <t>(2) Momento máximo de segundo orden = (w·EI/P)(sec u − 1)</t>
        </is>
      </c>
      <c r="C38" s="17" t="inlineStr">
        <is>
          <t>kN·m</t>
        </is>
      </c>
      <c r="D38" s="26">
        <f>ABS($D$27)</f>
        <v/>
      </c>
      <c r="E38" s="25" t="n">
        <v>38.06146175533348</v>
      </c>
      <c r="F38" s="27">
        <f>E38-D38</f>
        <v/>
      </c>
      <c r="G38" s="28">
        <f>IF(ABS(D38)&gt;0.000000000001,F38/D38,"—")</f>
        <v/>
      </c>
      <c r="H38" s="29" t="n">
        <v>0.0001</v>
      </c>
      <c r="I38" s="30" t="n">
        <v>1e-06</v>
      </c>
      <c r="J38" s="31">
        <f>IF(ABS(F38)&lt;=MAX(H38*ABS(D38),I38),"OK","NO")</f>
        <v/>
      </c>
      <c r="K38" s="17" t="inlineStr">
        <is>
          <t>Fórmula</t>
        </is>
      </c>
      <c r="L38" s="9" t="inlineStr">
        <is>
          <t>Mmax2</t>
        </is>
      </c>
      <c r="M38" s="9" t="inlineStr">
        <is>
          <t>Barra 2, en x = 0.5·L, momento flector Mz (eje fuerte) · combinación «C1: 1,0·D (segundo orden)»</t>
        </is>
      </c>
      <c r="N38" s="9" t="inlineStr">
        <is>
          <t>Se comparan valores absolutos (la convención de signo es independiente del resultado).</t>
        </is>
      </c>
    </row>
    <row r="39" ht="28" customHeight="1">
      <c r="A39" s="17" t="n">
        <v>6</v>
      </c>
      <c r="B39" s="8" t="inlineStr">
        <is>
          <t>(2) Flecha máxima de segundo orden</t>
        </is>
      </c>
      <c r="C39" s="17" t="inlineStr">
        <is>
          <t>mm</t>
        </is>
      </c>
      <c r="D39" s="26">
        <f>ABS($D$29)</f>
        <v/>
      </c>
      <c r="E39" s="25" t="n">
        <v>28.40690171133635</v>
      </c>
      <c r="F39" s="27">
        <f>E39-D39</f>
        <v/>
      </c>
      <c r="G39" s="28">
        <f>IF(ABS(D39)&gt;0.000000000001,F39/D39,"—")</f>
        <v/>
      </c>
      <c r="H39" s="29" t="n">
        <v>0.0001</v>
      </c>
      <c r="I39" s="30" t="n">
        <v>1e-06</v>
      </c>
      <c r="J39" s="31">
        <f>IF(ABS(F39)&lt;=MAX(H39*ABS(D39),I39),"OK","NO")</f>
        <v/>
      </c>
      <c r="K39" s="17" t="inlineStr">
        <is>
          <t>Fórmula</t>
        </is>
      </c>
      <c r="L39" s="9" t="inlineStr">
        <is>
          <t>dmax2</t>
        </is>
      </c>
      <c r="M39" s="9" t="inlineStr">
        <is>
          <t>Barra 2, en x = 0.5·L, flecha vy (plano del alma) · combinación «C1: 1,0·D (segundo orden)»</t>
        </is>
      </c>
      <c r="N39" s="9" t="inlineStr">
        <is>
          <t>Se comparan valores absolutos (la convención de signo es independiente del resultado).</t>
        </is>
      </c>
    </row>
    <row r="40" ht="28" customHeight="1">
      <c r="A40" s="17" t="n">
        <v>7</v>
      </c>
      <c r="B40" s="8" t="inlineStr">
        <is>
          <t>(2) Reacción vertical en el apoyo = w·L/2</t>
        </is>
      </c>
      <c r="C40" s="17" t="inlineStr">
        <is>
          <t>kN</t>
        </is>
      </c>
      <c r="D40" s="26">
        <f>$D$25*$D$22/2/1000</f>
        <v/>
      </c>
      <c r="E40" s="25" t="n">
        <v>15</v>
      </c>
      <c r="F40" s="27">
        <f>E40-D40</f>
        <v/>
      </c>
      <c r="G40" s="28">
        <f>IF(ABS(D40)&gt;0.000000000001,F40/D40,"—")</f>
        <v/>
      </c>
      <c r="H40" s="29" t="n">
        <v>0.0001</v>
      </c>
      <c r="I40" s="30" t="n">
        <v>1e-06</v>
      </c>
      <c r="J40" s="31">
        <f>IF(ABS(F40)&lt;=MAX(H40*ABS(D40),I40),"OK","NO")</f>
        <v/>
      </c>
      <c r="K40" s="17" t="inlineStr">
        <is>
          <t>Fórmula</t>
        </is>
      </c>
      <c r="L40" s="9" t="inlineStr">
        <is>
          <t>w*L2/2/1000</t>
        </is>
      </c>
      <c r="M40" s="9" t="inlineStr">
        <is>
          <t>Reacción Fz en el nudo 3 · combinación «C1: 1,0·D (segundo orden)»</t>
        </is>
      </c>
      <c r="N40" s="9" t="inlineStr"/>
    </row>
    <row r="41" ht="28" customHeight="1">
      <c r="A41" s="17" t="n">
        <v>8</v>
      </c>
      <c r="B41" s="8" t="inlineStr">
        <is>
          <t>(2) Axil constante = −P</t>
        </is>
      </c>
      <c r="C41" s="17" t="inlineStr">
        <is>
          <t>kN</t>
        </is>
      </c>
      <c r="D41" s="26">
        <f>-$D$24</f>
        <v/>
      </c>
      <c r="E41" s="25" t="n">
        <v>-679.8158408683482</v>
      </c>
      <c r="F41" s="27">
        <f>E41-D41</f>
        <v/>
      </c>
      <c r="G41" s="28">
        <f>IF(ABS(D41)&gt;0.000000000001,F41/D41,"—")</f>
        <v/>
      </c>
      <c r="H41" s="29" t="n">
        <v>0.0001</v>
      </c>
      <c r="I41" s="30" t="n">
        <v>1e-06</v>
      </c>
      <c r="J41" s="31">
        <f>IF(ABS(F41)&lt;=MAX(H41*ABS(D41),I41),"OK","NO")</f>
        <v/>
      </c>
      <c r="K41" s="17" t="inlineStr">
        <is>
          <t>Fórmula</t>
        </is>
      </c>
      <c r="L41" s="9" t="inlineStr">
        <is>
          <t>-P2</t>
        </is>
      </c>
      <c r="M41" s="9" t="inlineStr">
        <is>
          <t>Barra 2, en x = 0.5·L, esfuerzo axil N (tracción +) · combinación «C1: 1,0·D (segundo orden)»</t>
        </is>
      </c>
      <c r="N41" s="9" t="inlineStr"/>
    </row>
    <row r="43">
      <c r="B43" s="4" t="inlineStr">
        <is>
          <t>Comprobaciones dentro de tolerancia</t>
        </is>
      </c>
      <c r="D43" s="4">
        <f>COUNTIF(J34:J41,"OK")</f>
        <v/>
      </c>
      <c r="E43" s="4">
        <f>ROWS(J34:J41)</f>
        <v/>
      </c>
      <c r="F43" s="4">
        <f>IF(D43=E43,"VERIFICA","DIFIERE")</f>
        <v/>
      </c>
    </row>
    <row r="44">
      <c r="B44" s="2" t="inlineStr">
        <is>
          <t>Azul = dato ingresado o valor que entregó el programa (pegado); negro = fórmula de Excel. El valor «Programa» es el resultado del motor de cálculo de la app para el mismo modelo.</t>
        </is>
      </c>
    </row>
  </sheetData>
  <mergeCells count="2">
    <mergeCell ref="A3:L3"/>
    <mergeCell ref="A4:L4"/>
  </mergeCells>
  <conditionalFormatting sqref="J34:J41">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40.xml><?xml version="1.0" encoding="utf-8"?>
<worksheet xmlns="http://schemas.openxmlformats.org/spreadsheetml/2006/main">
  <sheetPr>
    <outlinePr summaryBelow="1" summaryRight="1"/>
    <pageSetUpPr fitToPage="1"/>
  </sheetPr>
  <dimension ref="A1:N35"/>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N15 · Segundo orden con deformación por corte: viga-columna corta de Timoshenko</t>
        </is>
      </c>
    </row>
    <row r="2">
      <c r="A2" s="2" t="inlineStr">
        <is>
          <t>Solución clásica.  Fuente: Soluciones clásicas: Timoshenko «Resistencia de materiales» y «Theory of Elastic Stability» (Timoshenko &amp; Gere), Roark «Formulas for Stress and Strain», método de pendiente-deflexión, Ghali &amp; Neville «Structural Analysis» (efectos térmicos y asentamientos)</t>
        </is>
      </c>
    </row>
    <row r="3" ht="54" customHeight="1">
      <c r="A3" s="14" t="inlineStr">
        <is>
          <t>Enunciado. Caño CHS 200×6 de 1,00 m, biapoyado, con carga uniforme w y compresión P = 0,5·Pcr, donde la carga crítica con deformación por corte es Pcr = Pe/(1 + Pe/(G·As)) (Engesser; As = A/2, la convención del programa para el caño). La ecuación del momento M″ + κ·M = r·w, con κ = r·P/EI y r = 1/(1 − P/(G·As)), da M_max = (w·EI/P)·(sec u − 1) con u = (L/2)·√(P·r/EI). Se compara el momento máximo, la reacción y el axil; la carga crítica Pcr y el momento sin deformación por corte figuran en los datos como referencia.</t>
        </is>
      </c>
    </row>
    <row r="4" ht="28" customHeight="1">
      <c r="A4" s="14" t="inlineStr">
        <is>
          <t>Perfil. CHS 200×6 (As = A/2, convención del programa).</t>
        </is>
      </c>
    </row>
    <row r="6">
      <c r="A6" s="22" t="inlineStr">
        <is>
          <t>DATOS DEL EJERCICIO</t>
        </is>
      </c>
      <c r="B6" s="22" t="n"/>
      <c r="C6" s="22" t="n"/>
      <c r="D6" s="22" t="n"/>
      <c r="E6" s="22" t="n"/>
      <c r="F6" s="22" t="n"/>
      <c r="G6" s="22" t="n"/>
      <c r="H6" s="22" t="n"/>
      <c r="I6" s="22" t="n"/>
      <c r="J6" s="22" t="n"/>
      <c r="K6" s="22" t="n"/>
      <c r="L6" s="22" t="n"/>
      <c r="M6" s="22" t="n"/>
      <c r="N6" s="22" t="n"/>
    </row>
    <row r="7">
      <c r="A7" s="5" t="inlineStr">
        <is>
          <t>#</t>
        </is>
      </c>
      <c r="B7" s="5" t="inlineStr">
        <is>
          <t>Dato</t>
        </is>
      </c>
      <c r="C7" s="5" t="inlineStr">
        <is>
          <t>Unidad</t>
        </is>
      </c>
      <c r="D7" s="5" t="inlineStr">
        <is>
          <t>Valor</t>
        </is>
      </c>
      <c r="K7" s="5" t="inlineStr">
        <is>
          <t>Símbolo</t>
        </is>
      </c>
      <c r="L7" s="5" t="inlineStr">
        <is>
          <t>Fórmula (texto)</t>
        </is>
      </c>
    </row>
    <row r="8">
      <c r="A8" s="17" t="n">
        <v>1</v>
      </c>
      <c r="B8" s="8" t="inlineStr">
        <is>
          <t>Módulo elástico</t>
        </is>
      </c>
      <c r="C8" s="17" t="inlineStr">
        <is>
          <t>MPa</t>
        </is>
      </c>
      <c r="D8" s="23" t="n">
        <v>200000</v>
      </c>
      <c r="K8" s="17" t="inlineStr">
        <is>
          <t>E</t>
        </is>
      </c>
      <c r="L8" s="24" t="inlineStr">
        <is>
          <t>dato ingresado</t>
        </is>
      </c>
    </row>
    <row r="9">
      <c r="A9" s="17" t="n">
        <v>2</v>
      </c>
      <c r="B9" s="8" t="inlineStr">
        <is>
          <t>Módulo de corte</t>
        </is>
      </c>
      <c r="C9" s="17" t="inlineStr">
        <is>
          <t>MPa</t>
        </is>
      </c>
      <c r="D9" s="23" t="n">
        <v>77200</v>
      </c>
      <c r="K9" s="17" t="inlineStr">
        <is>
          <t>G</t>
        </is>
      </c>
      <c r="L9" s="24" t="inlineStr">
        <is>
          <t>dato ingresado</t>
        </is>
      </c>
    </row>
    <row r="10">
      <c r="A10" s="17" t="n">
        <v>3</v>
      </c>
      <c r="B10" s="8" t="inlineStr">
        <is>
          <t>Diámetro</t>
        </is>
      </c>
      <c r="C10" s="17" t="inlineStr">
        <is>
          <t>mm</t>
        </is>
      </c>
      <c r="D10" s="25" t="n">
        <v>200</v>
      </c>
      <c r="K10" s="17" t="inlineStr">
        <is>
          <t>Dc</t>
        </is>
      </c>
      <c r="L10" s="24" t="inlineStr">
        <is>
          <t>dato ingresado</t>
        </is>
      </c>
    </row>
    <row r="11">
      <c r="A11" s="17" t="n">
        <v>4</v>
      </c>
      <c r="B11" s="8" t="inlineStr">
        <is>
          <t>Espesor</t>
        </is>
      </c>
      <c r="C11" s="17" t="inlineStr">
        <is>
          <t>mm</t>
        </is>
      </c>
      <c r="D11" s="25" t="n">
        <v>6</v>
      </c>
      <c r="K11" s="17" t="inlineStr">
        <is>
          <t>tc</t>
        </is>
      </c>
      <c r="L11" s="24" t="inlineStr">
        <is>
          <t>dato ingresado</t>
        </is>
      </c>
    </row>
    <row r="12">
      <c r="A12" s="17" t="n">
        <v>5</v>
      </c>
      <c r="B12" s="8" t="inlineStr">
        <is>
          <t>Inercia</t>
        </is>
      </c>
      <c r="C12" s="17" t="inlineStr">
        <is>
          <t>mm⁴</t>
        </is>
      </c>
      <c r="D12" s="27">
        <f>PI()/64*($D$10^4-($D$10-2*$D$11)^4)</f>
        <v/>
      </c>
      <c r="K12" s="17" t="inlineStr">
        <is>
          <t>I</t>
        </is>
      </c>
      <c r="L12" s="24" t="inlineStr">
        <is>
          <t>valor = PI()/64*(Dc^4-(Dc-2*tc)^4)</t>
        </is>
      </c>
    </row>
    <row r="13">
      <c r="A13" s="17" t="n">
        <v>6</v>
      </c>
      <c r="B13" s="8" t="inlineStr">
        <is>
          <t>Área</t>
        </is>
      </c>
      <c r="C13" s="17" t="inlineStr">
        <is>
          <t>mm²</t>
        </is>
      </c>
      <c r="D13" s="38">
        <f>PI()/4*($D$10^2-($D$10-2*$D$11)^2)</f>
        <v/>
      </c>
      <c r="K13" s="17" t="inlineStr">
        <is>
          <t>A</t>
        </is>
      </c>
      <c r="L13" s="24" t="inlineStr">
        <is>
          <t>valor = PI()/4*(Dc^2-(Dc-2*tc)^2)</t>
        </is>
      </c>
    </row>
    <row r="14">
      <c r="A14" s="17" t="n">
        <v>7</v>
      </c>
      <c r="B14" s="8" t="inlineStr">
        <is>
          <t>Área de corte (A/2)</t>
        </is>
      </c>
      <c r="C14" s="17" t="inlineStr">
        <is>
          <t>mm²</t>
        </is>
      </c>
      <c r="D14" s="38">
        <f>$D$13/2</f>
        <v/>
      </c>
      <c r="K14" s="17" t="inlineStr">
        <is>
          <t>As</t>
        </is>
      </c>
      <c r="L14" s="24" t="inlineStr">
        <is>
          <t>valor = A/2</t>
        </is>
      </c>
    </row>
    <row r="15">
      <c r="A15" s="17" t="n">
        <v>8</v>
      </c>
      <c r="B15" s="8" t="inlineStr">
        <is>
          <t>Rigidez a flexión</t>
        </is>
      </c>
      <c r="C15" s="17" t="inlineStr">
        <is>
          <t>N·mm²</t>
        </is>
      </c>
      <c r="D15" s="27">
        <f>$D$8*$D$12</f>
        <v/>
      </c>
      <c r="K15" s="17" t="inlineStr">
        <is>
          <t>EI</t>
        </is>
      </c>
      <c r="L15" s="24" t="inlineStr">
        <is>
          <t>valor = E*I</t>
        </is>
      </c>
    </row>
    <row r="16">
      <c r="A16" s="17" t="n">
        <v>9</v>
      </c>
      <c r="B16" s="8" t="inlineStr">
        <is>
          <t>Rigidez de corte</t>
        </is>
      </c>
      <c r="C16" s="17" t="inlineStr">
        <is>
          <t>N</t>
        </is>
      </c>
      <c r="D16" s="27">
        <f>$D$9*$D$14</f>
        <v/>
      </c>
      <c r="K16" s="17" t="inlineStr">
        <is>
          <t>GAs</t>
        </is>
      </c>
      <c r="L16" s="24" t="inlineStr">
        <is>
          <t>valor = G*As</t>
        </is>
      </c>
    </row>
    <row r="17">
      <c r="A17" s="17" t="n">
        <v>10</v>
      </c>
      <c r="B17" s="8" t="inlineStr">
        <is>
          <t>Luz</t>
        </is>
      </c>
      <c r="C17" s="17" t="inlineStr">
        <is>
          <t>mm</t>
        </is>
      </c>
      <c r="D17" s="23" t="n">
        <v>1000</v>
      </c>
      <c r="K17" s="17" t="inlineStr">
        <is>
          <t>L</t>
        </is>
      </c>
      <c r="L17" s="24" t="inlineStr">
        <is>
          <t>dato ingresado</t>
        </is>
      </c>
    </row>
    <row r="18">
      <c r="A18" s="17" t="n">
        <v>11</v>
      </c>
      <c r="B18" s="8" t="inlineStr">
        <is>
          <t>Carga de Euler (sin corte)</t>
        </is>
      </c>
      <c r="C18" s="17" t="inlineStr">
        <is>
          <t>N</t>
        </is>
      </c>
      <c r="D18" s="27">
        <f>PI()^2*$D$15/$D$17^2</f>
        <v/>
      </c>
      <c r="K18" s="17" t="inlineStr">
        <is>
          <t>Pe</t>
        </is>
      </c>
      <c r="L18" s="24" t="inlineStr">
        <is>
          <t>valor = PI()^2*EI/L^2</t>
        </is>
      </c>
    </row>
    <row r="19">
      <c r="A19" s="17" t="n">
        <v>12</v>
      </c>
      <c r="B19" s="8" t="inlineStr">
        <is>
          <t>Carga crítica con deformación por corte</t>
        </is>
      </c>
      <c r="C19" s="17" t="inlineStr">
        <is>
          <t>N</t>
        </is>
      </c>
      <c r="D19" s="27">
        <f>$D$18/(1+$D$18/$D$16)</f>
        <v/>
      </c>
      <c r="K19" s="17" t="inlineStr">
        <is>
          <t>Pcr</t>
        </is>
      </c>
      <c r="L19" s="24" t="inlineStr">
        <is>
          <t>valor = Pe/(1+Pe/GAs)</t>
        </is>
      </c>
    </row>
    <row r="20">
      <c r="A20" s="17" t="n">
        <v>13</v>
      </c>
      <c r="B20" s="8" t="inlineStr">
        <is>
          <t>Compresión aplicada</t>
        </is>
      </c>
      <c r="C20" s="17" t="inlineStr">
        <is>
          <t>kN</t>
        </is>
      </c>
      <c r="D20" s="38">
        <f>0.5*$D$19/1000</f>
        <v/>
      </c>
      <c r="K20" s="17" t="inlineStr">
        <is>
          <t>P</t>
        </is>
      </c>
      <c r="L20" s="24" t="inlineStr">
        <is>
          <t>valor = 0.5*Pcr/1000</t>
        </is>
      </c>
    </row>
    <row r="21">
      <c r="A21" s="17" t="n">
        <v>14</v>
      </c>
      <c r="B21" s="8" t="inlineStr">
        <is>
          <t>Carga uniforme</t>
        </is>
      </c>
      <c r="C21" s="17" t="inlineStr">
        <is>
          <t>kN/m</t>
        </is>
      </c>
      <c r="D21" s="25" t="n">
        <v>40</v>
      </c>
      <c r="K21" s="17" t="inlineStr">
        <is>
          <t>w</t>
        </is>
      </c>
      <c r="L21" s="24" t="inlineStr">
        <is>
          <t>dato ingresado</t>
        </is>
      </c>
    </row>
    <row r="22">
      <c r="A22" s="17" t="n">
        <v>15</v>
      </c>
      <c r="B22" s="8" t="inlineStr">
        <is>
          <t>Factor de corte r</t>
        </is>
      </c>
      <c r="C22" s="17" t="inlineStr"/>
      <c r="D22" s="26">
        <f>1/(1-$D$20*1000/$D$16)</f>
        <v/>
      </c>
      <c r="K22" s="17" t="inlineStr">
        <is>
          <t>r</t>
        </is>
      </c>
      <c r="L22" s="24" t="inlineStr">
        <is>
          <t>valor = 1/(1-P*1000/GAs)</t>
        </is>
      </c>
    </row>
    <row r="23">
      <c r="A23" s="17" t="n">
        <v>16</v>
      </c>
      <c r="B23" s="8" t="inlineStr">
        <is>
          <t>u = (L/2)·√(P·r/EI)</t>
        </is>
      </c>
      <c r="C23" s="17" t="inlineStr"/>
      <c r="D23" s="26">
        <f>$D$17/2*SQRT($D$20*1000*$D$22/$D$15)</f>
        <v/>
      </c>
      <c r="K23" s="17" t="inlineStr">
        <is>
          <t>u</t>
        </is>
      </c>
      <c r="L23" s="24" t="inlineStr">
        <is>
          <t>valor = L/2*SQRT(P*1000*r/EI)</t>
        </is>
      </c>
    </row>
    <row r="24">
      <c r="A24" s="17" t="n">
        <v>17</v>
      </c>
      <c r="B24" s="8" t="inlineStr">
        <is>
          <t>Momento máximo con corte</t>
        </is>
      </c>
      <c r="C24" s="17" t="inlineStr">
        <is>
          <t>kN·m</t>
        </is>
      </c>
      <c r="D24" s="26">
        <f>$D$21*$D$15/($D$20*1000)*(1/COS($D$23)-1)/1000000</f>
        <v/>
      </c>
      <c r="K24" s="17" t="inlineStr">
        <is>
          <t>Mmax</t>
        </is>
      </c>
      <c r="L24" s="24" t="inlineStr">
        <is>
          <t>valor = w*EI/(P*1000)*(1/COS(u)-1)/1000000</t>
        </is>
      </c>
    </row>
    <row r="25">
      <c r="A25" s="17" t="n">
        <v>18</v>
      </c>
      <c r="B25" s="8" t="inlineStr">
        <is>
          <t>u sin deformación por corte</t>
        </is>
      </c>
      <c r="C25" s="17" t="inlineStr"/>
      <c r="D25" s="36">
        <f>$D$17/2*SQRT($D$20*1000/$D$15)</f>
        <v/>
      </c>
      <c r="K25" s="17" t="inlineStr">
        <is>
          <t>u0</t>
        </is>
      </c>
      <c r="L25" s="24" t="inlineStr">
        <is>
          <t>valor = L/2*SQRT(P*1000/EI)</t>
        </is>
      </c>
    </row>
    <row r="26">
      <c r="A26" s="17" t="n">
        <v>19</v>
      </c>
      <c r="B26" s="8" t="inlineStr">
        <is>
          <t>Momento máximo sin deformación por corte (referencia)</t>
        </is>
      </c>
      <c r="C26" s="17" t="inlineStr">
        <is>
          <t>kN·m</t>
        </is>
      </c>
      <c r="D26" s="26">
        <f>$D$21*$D$15/($D$20*1000)*(1/COS($D$25)-1)/1000000</f>
        <v/>
      </c>
      <c r="K26" s="17" t="inlineStr">
        <is>
          <t>Mmax0</t>
        </is>
      </c>
      <c r="L26" s="24" t="inlineStr">
        <is>
          <t>valor = w*EI/(P*1000)*(1/COS(u0)-1)/1000000</t>
        </is>
      </c>
    </row>
    <row r="28">
      <c r="A28" s="22" t="inlineStr">
        <is>
          <t>COMPARACIÓN: TEORÍA / DATO PUBLICADO  vs  PROGRAMA (Atlas Estructuras 3D)</t>
        </is>
      </c>
      <c r="B28" s="22" t="n"/>
      <c r="C28" s="22" t="n"/>
      <c r="D28" s="22" t="n"/>
      <c r="E28" s="22" t="n"/>
      <c r="F28" s="22" t="n"/>
      <c r="G28" s="22" t="n"/>
      <c r="H28" s="22" t="n"/>
      <c r="I28" s="22" t="n"/>
      <c r="J28" s="22" t="n"/>
      <c r="K28" s="22" t="n"/>
      <c r="L28" s="22" t="n"/>
      <c r="M28" s="22" t="n"/>
      <c r="N28" s="22" t="n"/>
    </row>
    <row r="29" ht="30" customHeight="1">
      <c r="A29" s="5" t="inlineStr">
        <is>
          <t>#</t>
        </is>
      </c>
      <c r="B29" s="5" t="inlineStr">
        <is>
          <t>Comprobación</t>
        </is>
      </c>
      <c r="C29" s="5" t="inlineStr">
        <is>
          <t>Unidad</t>
        </is>
      </c>
      <c r="D29" s="5" t="inlineStr">
        <is>
          <t>Teoría / publicado</t>
        </is>
      </c>
      <c r="E29" s="5" t="inlineStr">
        <is>
          <t>Programa</t>
        </is>
      </c>
      <c r="F29" s="5" t="inlineStr">
        <is>
          <t>Diferencia (prog. − teoría)</t>
        </is>
      </c>
      <c r="G29" s="5" t="inlineStr">
        <is>
          <t>Error relativo</t>
        </is>
      </c>
      <c r="H29" s="5" t="inlineStr">
        <is>
          <t>Tol. relativa</t>
        </is>
      </c>
      <c r="I29" s="5" t="inlineStr">
        <is>
          <t>Tol. absoluta</t>
        </is>
      </c>
      <c r="J29" s="5" t="inlineStr">
        <is>
          <t>Estado</t>
        </is>
      </c>
      <c r="K29" s="5" t="inlineStr">
        <is>
          <t>Origen</t>
        </is>
      </c>
      <c r="L29" s="5" t="inlineStr">
        <is>
          <t>Expresión de la teoría (texto)</t>
        </is>
      </c>
      <c r="M29" s="5" t="inlineStr">
        <is>
          <t>Dónde se lee en el programa</t>
        </is>
      </c>
      <c r="N29" s="5" t="inlineStr">
        <is>
          <t>Nota</t>
        </is>
      </c>
    </row>
    <row r="30" ht="28" customHeight="1">
      <c r="A30" s="17" t="n">
        <v>1</v>
      </c>
      <c r="B30" s="8" t="inlineStr">
        <is>
          <t>Momento máximo con deformación por corte = (w·EI/P)(sec u − 1)</t>
        </is>
      </c>
      <c r="C30" s="17" t="inlineStr">
        <is>
          <t>kN·m</t>
        </is>
      </c>
      <c r="D30" s="26">
        <f>ABS($D$24)</f>
        <v/>
      </c>
      <c r="E30" s="25" t="n">
        <v>10.13269203270455</v>
      </c>
      <c r="F30" s="27">
        <f>E30-D30</f>
        <v/>
      </c>
      <c r="G30" s="28">
        <f>IF(ABS(D30)&gt;0.000000000001,F30/D30,"—")</f>
        <v/>
      </c>
      <c r="H30" s="29" t="n">
        <v>0.0001</v>
      </c>
      <c r="I30" s="30" t="n">
        <v>1e-06</v>
      </c>
      <c r="J30" s="31">
        <f>IF(ABS(F30)&lt;=MAX(H30*ABS(D30),I30),"OK","NO")</f>
        <v/>
      </c>
      <c r="K30" s="17" t="inlineStr">
        <is>
          <t>Fórmula</t>
        </is>
      </c>
      <c r="L30" s="9" t="inlineStr">
        <is>
          <t>Mmax</t>
        </is>
      </c>
      <c r="M30" s="9" t="inlineStr">
        <is>
          <t>Barra 1, en x = 0.5·L, momento flector Mz (eje fuerte) · combinación «C1: 1,0·D (2.º orden con corte)»</t>
        </is>
      </c>
      <c r="N30" s="9" t="inlineStr">
        <is>
          <t>Se comparan valores absolutos (la convención de signo es independiente del resultado).</t>
        </is>
      </c>
    </row>
    <row r="31" ht="28" customHeight="1">
      <c r="A31" s="17" t="n">
        <v>2</v>
      </c>
      <c r="B31" s="8" t="inlineStr">
        <is>
          <t>Axil constante = −P</t>
        </is>
      </c>
      <c r="C31" s="17" t="inlineStr">
        <is>
          <t>kN</t>
        </is>
      </c>
      <c r="D31" s="38">
        <f>-$D$20</f>
        <v/>
      </c>
      <c r="E31" s="23" t="n">
        <v>-13697.03804340981</v>
      </c>
      <c r="F31" s="27">
        <f>E31-D31</f>
        <v/>
      </c>
      <c r="G31" s="28">
        <f>IF(ABS(D31)&gt;0.000000000001,F31/D31,"—")</f>
        <v/>
      </c>
      <c r="H31" s="29" t="n">
        <v>0.0001</v>
      </c>
      <c r="I31" s="30" t="n">
        <v>1e-06</v>
      </c>
      <c r="J31" s="31">
        <f>IF(ABS(F31)&lt;=MAX(H31*ABS(D31),I31),"OK","NO")</f>
        <v/>
      </c>
      <c r="K31" s="17" t="inlineStr">
        <is>
          <t>Fórmula</t>
        </is>
      </c>
      <c r="L31" s="9" t="inlineStr">
        <is>
          <t>-P</t>
        </is>
      </c>
      <c r="M31" s="9" t="inlineStr">
        <is>
          <t>Barra 1, en x = 0.5·L, esfuerzo axil N (tracción +) · combinación «C1: 1,0·D (2.º orden con corte)»</t>
        </is>
      </c>
      <c r="N31" s="9" t="inlineStr"/>
    </row>
    <row r="32" ht="28" customHeight="1">
      <c r="A32" s="17" t="n">
        <v>3</v>
      </c>
      <c r="B32" s="8" t="inlineStr">
        <is>
          <t>Reacción vertical = w·L/2</t>
        </is>
      </c>
      <c r="C32" s="17" t="inlineStr">
        <is>
          <t>kN</t>
        </is>
      </c>
      <c r="D32" s="26">
        <f>$D$21*$D$17/2000</f>
        <v/>
      </c>
      <c r="E32" s="25" t="n">
        <v>20</v>
      </c>
      <c r="F32" s="27">
        <f>E32-D32</f>
        <v/>
      </c>
      <c r="G32" s="28">
        <f>IF(ABS(D32)&gt;0.000000000001,F32/D32,"—")</f>
        <v/>
      </c>
      <c r="H32" s="29" t="n">
        <v>0.0001</v>
      </c>
      <c r="I32" s="30" t="n">
        <v>1e-06</v>
      </c>
      <c r="J32" s="31">
        <f>IF(ABS(F32)&lt;=MAX(H32*ABS(D32),I32),"OK","NO")</f>
        <v/>
      </c>
      <c r="K32" s="17" t="inlineStr">
        <is>
          <t>Fórmula</t>
        </is>
      </c>
      <c r="L32" s="9" t="inlineStr">
        <is>
          <t>w*L/2000</t>
        </is>
      </c>
      <c r="M32" s="9" t="inlineStr">
        <is>
          <t>Reacción Fz en el nudo 1 · combinación «C1: 1,0·D (2.º orden con corte)»</t>
        </is>
      </c>
      <c r="N32" s="9" t="inlineStr"/>
    </row>
    <row r="34">
      <c r="B34" s="4" t="inlineStr">
        <is>
          <t>Comprobaciones dentro de tolerancia</t>
        </is>
      </c>
      <c r="D34" s="4">
        <f>COUNTIF(J30:J32,"OK")</f>
        <v/>
      </c>
      <c r="E34" s="4">
        <f>ROWS(J30:J32)</f>
        <v/>
      </c>
      <c r="F34" s="4">
        <f>IF(D34=E34,"VERIFICA","DIFIERE")</f>
        <v/>
      </c>
    </row>
    <row r="35">
      <c r="B35" s="2" t="inlineStr">
        <is>
          <t>Azul = dato ingresado o valor que entregó el programa (pegado); negro = fórmula de Excel. El valor «Programa» es el resultado del motor de cálculo de la app para el mismo modelo.</t>
        </is>
      </c>
    </row>
  </sheetData>
  <mergeCells count="2">
    <mergeCell ref="A3:L3"/>
    <mergeCell ref="A4:L4"/>
  </mergeCells>
  <conditionalFormatting sqref="J30:J32">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41.xml><?xml version="1.0" encoding="utf-8"?>
<worksheet xmlns="http://schemas.openxmlformats.org/spreadsheetml/2006/main">
  <sheetPr>
    <outlinePr summaryBelow="1" summaryRight="1"/>
    <pageSetUpPr fitToPage="1"/>
  </sheetPr>
  <dimension ref="A1:N28"/>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N16 · Pórtico plano empotrado con P-Δ: contraste con PyNite FEA 3.2</t>
        </is>
      </c>
    </row>
    <row r="2">
      <c r="A2" s="2" t="inlineStr">
        <is>
          <t>Solución clásica.  Fuente: Contraste con PyNite FEA 3.2.0 (análisis P-Δ iterativo, cada columna dividida en 16 elementos). Los números son los que entregó PyNite al correr el mismo pórtico; no hay solución cerrada.</t>
        </is>
      </c>
    </row>
    <row r="3" ht="67.5" customHeight="1">
      <c r="A3" s="14" t="inlineStr">
        <is>
          <t>Enunciado. Pórtico plano de dos columnas IPE 300 de 4,00 m empotradas en la base y un dintel IPE 300 de 6,00 m, con 800 kN de compresión en el tope de cada columna y 20 kN horizontales en el nudo izquierdo; la flexión es en el plano del pórtico (eje fuerte) y los nudos tienen impedido el movimiento fuera del plano para que no rija el pandeo del eje débil. Primer orden: el desplazamiento horizontal da 5,1444 mm igual en los dos programas. Segundo orden: PyNite da 5,8115 mm (+13 %) y 26,676 kN·m de momento de base; el elemento exacto del programa llega a los mismos valores sin dividir las barras. La diferencia chica (≈0,002 % en el momento) se debe a que PyNite usa la matriz geométrica aproximada de cada tramo.</t>
        </is>
      </c>
    </row>
    <row r="4" ht="28" customHeight="1">
      <c r="A4" s="14" t="inlineStr">
        <is>
          <t>Perfil. IPE 300 (tabla): A = 53,8 cm², Ix = 8 356 cm⁴.</t>
        </is>
      </c>
    </row>
    <row r="6">
      <c r="A6" s="22" t="inlineStr">
        <is>
          <t>DATOS DEL EJERCICIO</t>
        </is>
      </c>
      <c r="B6" s="22" t="n"/>
      <c r="C6" s="22" t="n"/>
      <c r="D6" s="22" t="n"/>
      <c r="E6" s="22" t="n"/>
      <c r="F6" s="22" t="n"/>
      <c r="G6" s="22" t="n"/>
      <c r="H6" s="22" t="n"/>
      <c r="I6" s="22" t="n"/>
      <c r="J6" s="22" t="n"/>
      <c r="K6" s="22" t="n"/>
      <c r="L6" s="22" t="n"/>
      <c r="M6" s="22" t="n"/>
      <c r="N6" s="22" t="n"/>
    </row>
    <row r="7">
      <c r="A7" s="5" t="inlineStr">
        <is>
          <t>#</t>
        </is>
      </c>
      <c r="B7" s="5" t="inlineStr">
        <is>
          <t>Dato</t>
        </is>
      </c>
      <c r="C7" s="5" t="inlineStr">
        <is>
          <t>Unidad</t>
        </is>
      </c>
      <c r="D7" s="5" t="inlineStr">
        <is>
          <t>Valor</t>
        </is>
      </c>
      <c r="K7" s="5" t="inlineStr">
        <is>
          <t>Símbolo</t>
        </is>
      </c>
      <c r="L7" s="5" t="inlineStr">
        <is>
          <t>Fórmula (texto)</t>
        </is>
      </c>
    </row>
    <row r="8">
      <c r="A8" s="17" t="n">
        <v>1</v>
      </c>
      <c r="B8" s="8" t="inlineStr">
        <is>
          <t>Módulo elástico</t>
        </is>
      </c>
      <c r="C8" s="17" t="inlineStr">
        <is>
          <t>MPa</t>
        </is>
      </c>
      <c r="D8" s="23" t="n">
        <v>200000</v>
      </c>
      <c r="K8" s="17" t="inlineStr">
        <is>
          <t>E</t>
        </is>
      </c>
      <c r="L8" s="24" t="inlineStr">
        <is>
          <t>dato ingresado</t>
        </is>
      </c>
    </row>
    <row r="9">
      <c r="A9" s="17" t="n">
        <v>2</v>
      </c>
      <c r="B9" s="8" t="inlineStr">
        <is>
          <t>Compresión en cada columna</t>
        </is>
      </c>
      <c r="C9" s="17" t="inlineStr">
        <is>
          <t>kN</t>
        </is>
      </c>
      <c r="D9" s="25" t="n">
        <v>800</v>
      </c>
      <c r="K9" s="17" t="inlineStr">
        <is>
          <t>P</t>
        </is>
      </c>
      <c r="L9" s="24" t="inlineStr">
        <is>
          <t>dato ingresado</t>
        </is>
      </c>
    </row>
    <row r="10">
      <c r="A10" s="17" t="n">
        <v>3</v>
      </c>
      <c r="B10" s="8" t="inlineStr">
        <is>
          <t>Carga horizontal</t>
        </is>
      </c>
      <c r="C10" s="17" t="inlineStr">
        <is>
          <t>kN</t>
        </is>
      </c>
      <c r="D10" s="25" t="n">
        <v>20</v>
      </c>
      <c r="K10" s="17" t="inlineStr">
        <is>
          <t>H</t>
        </is>
      </c>
      <c r="L10" s="24" t="inlineStr">
        <is>
          <t>dato ingresado</t>
        </is>
      </c>
    </row>
    <row r="11">
      <c r="A11" s="17" t="n">
        <v>4</v>
      </c>
      <c r="B11" s="8" t="inlineStr">
        <is>
          <t>Altura de las columnas</t>
        </is>
      </c>
      <c r="C11" s="17" t="inlineStr">
        <is>
          <t>mm</t>
        </is>
      </c>
      <c r="D11" s="23" t="n">
        <v>4000</v>
      </c>
      <c r="K11" s="17" t="inlineStr">
        <is>
          <t>Hc</t>
        </is>
      </c>
      <c r="L11" s="24" t="inlineStr">
        <is>
          <t>dato ingresado</t>
        </is>
      </c>
    </row>
    <row r="12">
      <c r="A12" s="17" t="n">
        <v>5</v>
      </c>
      <c r="B12" s="8" t="inlineStr">
        <is>
          <t>Luz del dintel</t>
        </is>
      </c>
      <c r="C12" s="17" t="inlineStr">
        <is>
          <t>mm</t>
        </is>
      </c>
      <c r="D12" s="23" t="n">
        <v>6000</v>
      </c>
      <c r="K12" s="17" t="inlineStr">
        <is>
          <t>Lb</t>
        </is>
      </c>
      <c r="L12" s="24" t="inlineStr">
        <is>
          <t>dato ingresado</t>
        </is>
      </c>
    </row>
    <row r="13">
      <c r="A13" s="17" t="n">
        <v>6</v>
      </c>
      <c r="B13" s="8" t="inlineStr">
        <is>
          <t>PyNite, primer orden: desplazamiento horizontal del nudo izquierdo</t>
        </is>
      </c>
      <c r="C13" s="17" t="inlineStr">
        <is>
          <t>mm</t>
        </is>
      </c>
      <c r="D13" s="25" t="n">
        <v>5.144445820515433</v>
      </c>
      <c r="K13" s="17" t="inlineStr">
        <is>
          <t>ux1</t>
        </is>
      </c>
      <c r="L13" s="24" t="inlineStr">
        <is>
          <t>dato ingresado</t>
        </is>
      </c>
    </row>
    <row r="14">
      <c r="A14" s="17" t="n">
        <v>7</v>
      </c>
      <c r="B14" s="8" t="inlineStr">
        <is>
          <t>PyNite, primer orden: momento de base izquierdo</t>
        </is>
      </c>
      <c r="C14" s="17" t="inlineStr">
        <is>
          <t>kN·m</t>
        </is>
      </c>
      <c r="D14" s="25" t="n">
        <v>24.13084965923157</v>
      </c>
      <c r="K14" s="17" t="inlineStr">
        <is>
          <t>Mb1</t>
        </is>
      </c>
      <c r="L14" s="24" t="inlineStr">
        <is>
          <t>dato ingresado</t>
        </is>
      </c>
    </row>
    <row r="15">
      <c r="A15" s="17" t="n">
        <v>8</v>
      </c>
      <c r="B15" s="8" t="inlineStr">
        <is>
          <t>PyNite, segundo orden: desplazamiento horizontal del nudo izquierdo</t>
        </is>
      </c>
      <c r="C15" s="17" t="inlineStr">
        <is>
          <t>mm</t>
        </is>
      </c>
      <c r="D15" s="25" t="n">
        <v>5.811526710965078</v>
      </c>
      <c r="K15" s="17" t="inlineStr">
        <is>
          <t>ux2</t>
        </is>
      </c>
      <c r="L15" s="24" t="inlineStr">
        <is>
          <t>dato ingresado</t>
        </is>
      </c>
    </row>
    <row r="16">
      <c r="A16" s="17" t="n">
        <v>9</v>
      </c>
      <c r="B16" s="8" t="inlineStr">
        <is>
          <t>PyNite, segundo orden: momento de base izquierdo</t>
        </is>
      </c>
      <c r="C16" s="17" t="inlineStr">
        <is>
          <t>kN·m</t>
        </is>
      </c>
      <c r="D16" s="25" t="n">
        <v>26.67630731735963</v>
      </c>
      <c r="K16" s="17" t="inlineStr">
        <is>
          <t>Mb2</t>
        </is>
      </c>
      <c r="L16" s="24" t="inlineStr">
        <is>
          <t>dato ingresado</t>
        </is>
      </c>
    </row>
    <row r="17">
      <c r="A17" s="17" t="n">
        <v>10</v>
      </c>
      <c r="B17" s="8" t="inlineStr">
        <is>
          <t>PyNite, segundo orden: momento de base derecho</t>
        </is>
      </c>
      <c r="C17" s="17" t="inlineStr">
        <is>
          <t>kN·m</t>
        </is>
      </c>
      <c r="D17" s="25" t="n">
        <v>26.45799235771128</v>
      </c>
      <c r="K17" s="17" t="inlineStr">
        <is>
          <t>Mb2d</t>
        </is>
      </c>
      <c r="L17" s="24" t="inlineStr">
        <is>
          <t>dato ingresado</t>
        </is>
      </c>
    </row>
    <row r="18">
      <c r="A18" s="17" t="n">
        <v>11</v>
      </c>
      <c r="B18" s="8" t="inlineStr">
        <is>
          <t>PyNite, segundo orden: descenso del nudo izquierdo</t>
        </is>
      </c>
      <c r="C18" s="17" t="inlineStr">
        <is>
          <t>mm</t>
        </is>
      </c>
      <c r="D18" s="25" t="n">
        <v>-2.953780101687767</v>
      </c>
      <c r="K18" s="17" t="inlineStr">
        <is>
          <t>uz2</t>
        </is>
      </c>
      <c r="L18" s="24" t="inlineStr">
        <is>
          <t>dato ingresado</t>
        </is>
      </c>
    </row>
    <row r="20">
      <c r="A20" s="22" t="inlineStr">
        <is>
          <t>COMPARACIÓN: TEORÍA / DATO PUBLICADO  vs  PROGRAMA (Atlas Estructuras 3D)</t>
        </is>
      </c>
      <c r="B20" s="22" t="n"/>
      <c r="C20" s="22" t="n"/>
      <c r="D20" s="22" t="n"/>
      <c r="E20" s="22" t="n"/>
      <c r="F20" s="22" t="n"/>
      <c r="G20" s="22" t="n"/>
      <c r="H20" s="22" t="n"/>
      <c r="I20" s="22" t="n"/>
      <c r="J20" s="22" t="n"/>
      <c r="K20" s="22" t="n"/>
      <c r="L20" s="22" t="n"/>
      <c r="M20" s="22" t="n"/>
      <c r="N20" s="22" t="n"/>
    </row>
    <row r="21" ht="30" customHeight="1">
      <c r="A21" s="5" t="inlineStr">
        <is>
          <t>#</t>
        </is>
      </c>
      <c r="B21" s="5" t="inlineStr">
        <is>
          <t>Comprobación</t>
        </is>
      </c>
      <c r="C21" s="5" t="inlineStr">
        <is>
          <t>Unidad</t>
        </is>
      </c>
      <c r="D21" s="5" t="inlineStr">
        <is>
          <t>Teoría / publicado</t>
        </is>
      </c>
      <c r="E21" s="5" t="inlineStr">
        <is>
          <t>Programa</t>
        </is>
      </c>
      <c r="F21" s="5" t="inlineStr">
        <is>
          <t>Diferencia (prog. − teoría)</t>
        </is>
      </c>
      <c r="G21" s="5" t="inlineStr">
        <is>
          <t>Error relativo</t>
        </is>
      </c>
      <c r="H21" s="5" t="inlineStr">
        <is>
          <t>Tol. relativa</t>
        </is>
      </c>
      <c r="I21" s="5" t="inlineStr">
        <is>
          <t>Tol. absoluta</t>
        </is>
      </c>
      <c r="J21" s="5" t="inlineStr">
        <is>
          <t>Estado</t>
        </is>
      </c>
      <c r="K21" s="5" t="inlineStr">
        <is>
          <t>Origen</t>
        </is>
      </c>
      <c r="L21" s="5" t="inlineStr">
        <is>
          <t>Expresión de la teoría (texto)</t>
        </is>
      </c>
      <c r="M21" s="5" t="inlineStr">
        <is>
          <t>Dónde se lee en el programa</t>
        </is>
      </c>
      <c r="N21" s="5" t="inlineStr">
        <is>
          <t>Nota</t>
        </is>
      </c>
    </row>
    <row r="22" ht="28" customHeight="1">
      <c r="A22" s="17" t="n">
        <v>1</v>
      </c>
      <c r="B22" s="8" t="inlineStr">
        <is>
          <t>Desplazamiento horizontal del nudo izquierdo (PyNite, segundo orden)</t>
        </is>
      </c>
      <c r="C22" s="17" t="inlineStr">
        <is>
          <t>mm</t>
        </is>
      </c>
      <c r="D22" s="26">
        <f>$D$15</f>
        <v/>
      </c>
      <c r="E22" s="25" t="n">
        <v>5.811501097823182</v>
      </c>
      <c r="F22" s="27">
        <f>E22-D22</f>
        <v/>
      </c>
      <c r="G22" s="28">
        <f>IF(ABS(D22)&gt;0.000000000001,F22/D22,"—")</f>
        <v/>
      </c>
      <c r="H22" s="29" t="n">
        <v>0.001</v>
      </c>
      <c r="I22" s="30" t="n">
        <v>1e-06</v>
      </c>
      <c r="J22" s="31">
        <f>IF(ABS(F22)&lt;=MAX(H22*ABS(D22),I22),"OK","NO")</f>
        <v/>
      </c>
      <c r="K22" s="17" t="inlineStr">
        <is>
          <t>Fórmula</t>
        </is>
      </c>
      <c r="L22" s="9" t="inlineStr">
        <is>
          <t>ux2</t>
        </is>
      </c>
      <c r="M22" s="9" t="inlineStr">
        <is>
          <t>Desplazamiento Ux del nudo 3 · combinación «C1: 1,0·D (segundo orden)»</t>
        </is>
      </c>
      <c r="N22" s="9" t="inlineStr"/>
    </row>
    <row r="23" ht="28" customHeight="1">
      <c r="A23" s="17" t="n">
        <v>2</v>
      </c>
      <c r="B23" s="8" t="inlineStr">
        <is>
          <t>Momento de base izquierdo (PyNite, segundo orden)</t>
        </is>
      </c>
      <c r="C23" s="17" t="inlineStr">
        <is>
          <t>kN·m</t>
        </is>
      </c>
      <c r="D23" s="26">
        <f>ABS($D$16)</f>
        <v/>
      </c>
      <c r="E23" s="25" t="n">
        <v>26.67675299036098</v>
      </c>
      <c r="F23" s="27">
        <f>E23-D23</f>
        <v/>
      </c>
      <c r="G23" s="28">
        <f>IF(ABS(D23)&gt;0.000000000001,F23/D23,"—")</f>
        <v/>
      </c>
      <c r="H23" s="29" t="n">
        <v>0.001</v>
      </c>
      <c r="I23" s="30" t="n">
        <v>1e-06</v>
      </c>
      <c r="J23" s="31">
        <f>IF(ABS(F23)&lt;=MAX(H23*ABS(D23),I23),"OK","NO")</f>
        <v/>
      </c>
      <c r="K23" s="17" t="inlineStr">
        <is>
          <t>Fórmula</t>
        </is>
      </c>
      <c r="L23" s="9" t="inlineStr">
        <is>
          <t>Mb2</t>
        </is>
      </c>
      <c r="M23" s="9" t="inlineStr">
        <is>
          <t>Reacción My en el nudo 1 · combinación «C1: 1,0·D (segundo orden)»</t>
        </is>
      </c>
      <c r="N23" s="9" t="inlineStr">
        <is>
          <t>Se comparan valores absolutos (la convención de signo es independiente del resultado).</t>
        </is>
      </c>
    </row>
    <row r="24" ht="28" customHeight="1">
      <c r="A24" s="17" t="n">
        <v>3</v>
      </c>
      <c r="B24" s="8" t="inlineStr">
        <is>
          <t>Momento de base derecho (PyNite, segundo orden)</t>
        </is>
      </c>
      <c r="C24" s="17" t="inlineStr">
        <is>
          <t>kN·m</t>
        </is>
      </c>
      <c r="D24" s="26">
        <f>ABS($D$17)</f>
        <v/>
      </c>
      <c r="E24" s="25" t="n">
        <v>26.45744785429104</v>
      </c>
      <c r="F24" s="27">
        <f>E24-D24</f>
        <v/>
      </c>
      <c r="G24" s="28">
        <f>IF(ABS(D24)&gt;0.000000000001,F24/D24,"—")</f>
        <v/>
      </c>
      <c r="H24" s="29" t="n">
        <v>0.001</v>
      </c>
      <c r="I24" s="30" t="n">
        <v>1e-06</v>
      </c>
      <c r="J24" s="31">
        <f>IF(ABS(F24)&lt;=MAX(H24*ABS(D24),I24),"OK","NO")</f>
        <v/>
      </c>
      <c r="K24" s="17" t="inlineStr">
        <is>
          <t>Fórmula</t>
        </is>
      </c>
      <c r="L24" s="9" t="inlineStr">
        <is>
          <t>Mb2d</t>
        </is>
      </c>
      <c r="M24" s="9" t="inlineStr">
        <is>
          <t>Reacción My en el nudo 2 · combinación «C1: 1,0·D (segundo orden)»</t>
        </is>
      </c>
      <c r="N24" s="9" t="inlineStr">
        <is>
          <t>Se comparan valores absolutos (la convención de signo es independiente del resultado).</t>
        </is>
      </c>
    </row>
    <row r="25" ht="28" customHeight="1">
      <c r="A25" s="17" t="n">
        <v>4</v>
      </c>
      <c r="B25" s="8" t="inlineStr">
        <is>
          <t>Descenso del nudo izquierdo (PyNite, segundo orden)</t>
        </is>
      </c>
      <c r="C25" s="17" t="inlineStr">
        <is>
          <t>mm</t>
        </is>
      </c>
      <c r="D25" s="26">
        <f>$D$18</f>
        <v/>
      </c>
      <c r="E25" s="25" t="n">
        <v>-2.951598582539488</v>
      </c>
      <c r="F25" s="27">
        <f>E25-D25</f>
        <v/>
      </c>
      <c r="G25" s="28">
        <f>IF(ABS(D25)&gt;0.000000000001,F25/D25,"—")</f>
        <v/>
      </c>
      <c r="H25" s="29" t="n">
        <v>0.002</v>
      </c>
      <c r="I25" s="30" t="n">
        <v>1e-06</v>
      </c>
      <c r="J25" s="31">
        <f>IF(ABS(F25)&lt;=MAX(H25*ABS(D25),I25),"OK","NO")</f>
        <v/>
      </c>
      <c r="K25" s="17" t="inlineStr">
        <is>
          <t>Fórmula</t>
        </is>
      </c>
      <c r="L25" s="9" t="inlineStr">
        <is>
          <t>uz2</t>
        </is>
      </c>
      <c r="M25" s="9" t="inlineStr">
        <is>
          <t>Desplazamiento Uz del nudo 3 · combinación «C1: 1,0·D (segundo orden)»</t>
        </is>
      </c>
      <c r="N25" s="9" t="inlineStr">
        <is>
          <t>La diferencia de ≈0,1 % viene de que el elemento exacto calcula el acortamiento axial sin el efecto de arqueo de PyNite.</t>
        </is>
      </c>
    </row>
    <row r="27">
      <c r="B27" s="4" t="inlineStr">
        <is>
          <t>Comprobaciones dentro de tolerancia</t>
        </is>
      </c>
      <c r="D27" s="4">
        <f>COUNTIF(J22:J25,"OK")</f>
        <v/>
      </c>
      <c r="E27" s="4">
        <f>ROWS(J22:J25)</f>
        <v/>
      </c>
      <c r="F27" s="4">
        <f>IF(D27=E27,"VERIFICA","DIFIERE")</f>
        <v/>
      </c>
    </row>
    <row r="28">
      <c r="B28" s="2" t="inlineStr">
        <is>
          <t>Azul = dato ingresado o valor que entregó el programa (pegado); negro = fórmula de Excel. El valor «Programa» es el resultado del motor de cálculo de la app para el mismo modelo.</t>
        </is>
      </c>
    </row>
  </sheetData>
  <mergeCells count="2">
    <mergeCell ref="A3:L3"/>
    <mergeCell ref="A4:L4"/>
  </mergeCells>
  <conditionalFormatting sqref="J22:J25">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42.xml><?xml version="1.0" encoding="utf-8"?>
<worksheet xmlns="http://schemas.openxmlformats.org/spreadsheetml/2006/main">
  <sheetPr>
    <outlinePr summaryBelow="1" summaryRight="1"/>
    <pageSetUpPr fitToPage="1"/>
  </sheetPr>
  <dimension ref="A1:N66"/>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F01 · Compresión: columnas IPE 200 con distintas longitudes efectivas por eje</t>
        </is>
      </c>
    </row>
    <row r="2">
      <c r="A2" s="2" t="inlineStr">
        <is>
          <t>Fórmulas del Reglamento.  Fuente: Fórmulas del Reglamento CIRSOC 301-2005 (capítulos D, E, F, H) recalculadas aparte; no provienen de un ejemplo publicado</t>
        </is>
      </c>
    </row>
    <row r="3" ht="54" customHeight="1">
      <c r="A3" s="14" t="inlineStr">
        <is>
          <t>Enunciado. Tres columnas IPE 200 (Fy = 235 MPa) con carga axil mayorada de 100 kN: A) KL = 3,0 m en ambos ejes; B) KL = 4,5 m; C) pandeo fuerte con KLs = 7,0 m y débil con KLw = 1,5 m (gobierna el eje fuerte). Resistencia φc·Pn = 0,85·A·Fcr con Fcr = 0,658^(λc²)·Fy si λc ≤ 1,5 o 0,877·Fy/λc² si λc &gt; 1,5, y Fe = menor de los pandeos flexional y torsional (CIRSOC 301-2005 cap. E, AISC-LRFD 1999). Es un recálculo independiente de las fórmulas: confirma que el programa las implementa bien, no que el Reglamento esté bien interpretado.</t>
        </is>
      </c>
    </row>
    <row r="5">
      <c r="A5" s="22" t="inlineStr">
        <is>
          <t>DATOS DEL EJERCICIO</t>
        </is>
      </c>
      <c r="B5" s="22" t="n"/>
      <c r="C5" s="22" t="n"/>
      <c r="D5" s="22" t="n"/>
      <c r="E5" s="22" t="n"/>
      <c r="F5" s="22" t="n"/>
      <c r="G5" s="22" t="n"/>
      <c r="H5" s="22" t="n"/>
      <c r="I5" s="22" t="n"/>
      <c r="J5" s="22" t="n"/>
      <c r="K5" s="22" t="n"/>
      <c r="L5" s="22" t="n"/>
      <c r="M5" s="22" t="n"/>
      <c r="N5" s="22" t="n"/>
    </row>
    <row r="6">
      <c r="A6" s="5" t="inlineStr">
        <is>
          <t>#</t>
        </is>
      </c>
      <c r="B6" s="5" t="inlineStr">
        <is>
          <t>Dato</t>
        </is>
      </c>
      <c r="C6" s="5" t="inlineStr">
        <is>
          <t>Unidad</t>
        </is>
      </c>
      <c r="D6" s="5" t="inlineStr">
        <is>
          <t>Valor</t>
        </is>
      </c>
      <c r="K6" s="5" t="inlineStr">
        <is>
          <t>Símbolo</t>
        </is>
      </c>
      <c r="L6" s="5" t="inlineStr">
        <is>
          <t>Fórmula (texto)</t>
        </is>
      </c>
    </row>
    <row r="7">
      <c r="A7" s="17" t="n">
        <v>1</v>
      </c>
      <c r="B7" s="8" t="inlineStr">
        <is>
          <t>Módulo elástico</t>
        </is>
      </c>
      <c r="C7" s="17" t="inlineStr">
        <is>
          <t>MPa</t>
        </is>
      </c>
      <c r="D7" s="23" t="n">
        <v>200000</v>
      </c>
      <c r="K7" s="17" t="inlineStr">
        <is>
          <t>E</t>
        </is>
      </c>
      <c r="L7" s="24" t="inlineStr">
        <is>
          <t>dato ingresado</t>
        </is>
      </c>
    </row>
    <row r="8">
      <c r="A8" s="17" t="n">
        <v>2</v>
      </c>
      <c r="B8" s="8" t="inlineStr">
        <is>
          <t>Módulo de corte</t>
        </is>
      </c>
      <c r="C8" s="17" t="inlineStr">
        <is>
          <t>MPa</t>
        </is>
      </c>
      <c r="D8" s="23" t="n">
        <v>77200</v>
      </c>
      <c r="K8" s="17" t="inlineStr">
        <is>
          <t>G</t>
        </is>
      </c>
      <c r="L8" s="24" t="inlineStr">
        <is>
          <t>dato ingresado</t>
        </is>
      </c>
    </row>
    <row r="9">
      <c r="A9" s="17" t="n">
        <v>3</v>
      </c>
      <c r="B9" s="8" t="inlineStr">
        <is>
          <t>Tensión de fluencia F-24</t>
        </is>
      </c>
      <c r="C9" s="17" t="inlineStr">
        <is>
          <t>MPa</t>
        </is>
      </c>
      <c r="D9" s="25" t="n">
        <v>235</v>
      </c>
      <c r="K9" s="17" t="inlineStr">
        <is>
          <t>Fy</t>
        </is>
      </c>
      <c r="L9" s="24" t="inlineStr">
        <is>
          <t>dato ingresado</t>
        </is>
      </c>
    </row>
    <row r="10">
      <c r="A10" s="17" t="n">
        <v>4</v>
      </c>
      <c r="B10" s="8" t="inlineStr">
        <is>
          <t>Carga axil mayorada en cada columna</t>
        </is>
      </c>
      <c r="C10" s="17" t="inlineStr">
        <is>
          <t>kN</t>
        </is>
      </c>
      <c r="D10" s="25" t="n">
        <v>100</v>
      </c>
      <c r="K10" s="17" t="inlineStr">
        <is>
          <t>Pu</t>
        </is>
      </c>
      <c r="L10" s="24" t="inlineStr">
        <is>
          <t>dato ingresado</t>
        </is>
      </c>
    </row>
    <row r="11">
      <c r="A11" s="17" t="n">
        <v>5</v>
      </c>
      <c r="B11" s="8" t="inlineStr">
        <is>
          <t>IPE 200: altura</t>
        </is>
      </c>
      <c r="C11" s="17" t="inlineStr">
        <is>
          <t>mm</t>
        </is>
      </c>
      <c r="D11" s="25" t="n">
        <v>200</v>
      </c>
      <c r="K11" s="17" t="inlineStr">
        <is>
          <t>h</t>
        </is>
      </c>
      <c r="L11" s="24" t="inlineStr">
        <is>
          <t>dato ingresado</t>
        </is>
      </c>
    </row>
    <row r="12">
      <c r="A12" s="17" t="n">
        <v>6</v>
      </c>
      <c r="B12" s="8" t="inlineStr">
        <is>
          <t>Ancho de ala</t>
        </is>
      </c>
      <c r="C12" s="17" t="inlineStr">
        <is>
          <t>mm</t>
        </is>
      </c>
      <c r="D12" s="25" t="n">
        <v>100</v>
      </c>
      <c r="K12" s="17" t="inlineStr">
        <is>
          <t>b</t>
        </is>
      </c>
      <c r="L12" s="24" t="inlineStr">
        <is>
          <t>dato ingresado</t>
        </is>
      </c>
    </row>
    <row r="13">
      <c r="A13" s="17" t="n">
        <v>7</v>
      </c>
      <c r="B13" s="8" t="inlineStr">
        <is>
          <t>Espesor de alma</t>
        </is>
      </c>
      <c r="C13" s="17" t="inlineStr">
        <is>
          <t>mm</t>
        </is>
      </c>
      <c r="D13" s="25" t="n">
        <v>5.6</v>
      </c>
      <c r="K13" s="17" t="inlineStr">
        <is>
          <t>tw</t>
        </is>
      </c>
      <c r="L13" s="24" t="inlineStr">
        <is>
          <t>dato ingresado</t>
        </is>
      </c>
    </row>
    <row r="14">
      <c r="A14" s="17" t="n">
        <v>8</v>
      </c>
      <c r="B14" s="8" t="inlineStr">
        <is>
          <t>Espesor de ala</t>
        </is>
      </c>
      <c r="C14" s="17" t="inlineStr">
        <is>
          <t>mm</t>
        </is>
      </c>
      <c r="D14" s="25" t="n">
        <v>8.5</v>
      </c>
      <c r="K14" s="17" t="inlineStr">
        <is>
          <t>tf</t>
        </is>
      </c>
      <c r="L14" s="24" t="inlineStr">
        <is>
          <t>dato ingresado</t>
        </is>
      </c>
    </row>
    <row r="15">
      <c r="A15" s="17" t="n">
        <v>9</v>
      </c>
      <c r="B15" s="8" t="inlineStr">
        <is>
          <t>Área</t>
        </is>
      </c>
      <c r="C15" s="17" t="inlineStr">
        <is>
          <t>mm²</t>
        </is>
      </c>
      <c r="D15" s="23" t="n">
        <v>2850</v>
      </c>
      <c r="K15" s="17" t="inlineStr">
        <is>
          <t>A</t>
        </is>
      </c>
      <c r="L15" s="24" t="inlineStr">
        <is>
          <t>dato ingresado</t>
        </is>
      </c>
    </row>
    <row r="16">
      <c r="A16" s="17" t="n">
        <v>10</v>
      </c>
      <c r="B16" s="8" t="inlineStr">
        <is>
          <t>Inercia, eje fuerte (tabla)</t>
        </is>
      </c>
      <c r="C16" s="17" t="inlineStr">
        <is>
          <t>mm⁴</t>
        </is>
      </c>
      <c r="D16" s="35" t="n">
        <v>19430000</v>
      </c>
      <c r="K16" s="17" t="inlineStr">
        <is>
          <t>Is</t>
        </is>
      </c>
      <c r="L16" s="24" t="inlineStr">
        <is>
          <t>dato ingresado</t>
        </is>
      </c>
    </row>
    <row r="17">
      <c r="A17" s="17" t="n">
        <v>11</v>
      </c>
      <c r="B17" s="8" t="inlineStr">
        <is>
          <t>Inercia, eje débil (tabla)</t>
        </is>
      </c>
      <c r="C17" s="17" t="inlineStr">
        <is>
          <t>mm⁴</t>
        </is>
      </c>
      <c r="D17" s="23" t="n">
        <v>1420000</v>
      </c>
      <c r="K17" s="17" t="inlineStr">
        <is>
          <t>Iw</t>
        </is>
      </c>
      <c r="L17" s="24" t="inlineStr">
        <is>
          <t>dato ingresado</t>
        </is>
      </c>
    </row>
    <row r="18">
      <c r="A18" s="17" t="n">
        <v>12</v>
      </c>
      <c r="B18" s="8" t="inlineStr">
        <is>
          <t>Módulo resistente fuerte (tabla)</t>
        </is>
      </c>
      <c r="C18" s="17" t="inlineStr">
        <is>
          <t>mm³</t>
        </is>
      </c>
      <c r="D18" s="23" t="n">
        <v>194000</v>
      </c>
      <c r="K18" s="17" t="inlineStr">
        <is>
          <t>Ss</t>
        </is>
      </c>
      <c r="L18" s="24" t="inlineStr">
        <is>
          <t>dato ingresado</t>
        </is>
      </c>
    </row>
    <row r="19">
      <c r="A19" s="17" t="n">
        <v>13</v>
      </c>
      <c r="B19" s="8" t="inlineStr">
        <is>
          <t>Módulo resistente débil (tabla)</t>
        </is>
      </c>
      <c r="C19" s="17" t="inlineStr">
        <is>
          <t>mm³</t>
        </is>
      </c>
      <c r="D19" s="23" t="n">
        <v>28500</v>
      </c>
      <c r="K19" s="17" t="inlineStr">
        <is>
          <t>Sw</t>
        </is>
      </c>
      <c r="L19" s="24" t="inlineStr">
        <is>
          <t>dato ingresado</t>
        </is>
      </c>
    </row>
    <row r="20">
      <c r="A20" s="17" t="n">
        <v>14</v>
      </c>
      <c r="B20" s="8" t="inlineStr">
        <is>
          <t>Constante de torsión (aproximación del programa para perfiles I laminados)</t>
        </is>
      </c>
      <c r="C20" s="17" t="inlineStr">
        <is>
          <t>mm⁴</t>
        </is>
      </c>
      <c r="D20" s="38">
        <f>(2*$D$12*$D$14^3+($D$11-2*$D$14)*$D$13^3)/3*1.3</f>
        <v/>
      </c>
      <c r="K20" s="17" t="inlineStr">
        <is>
          <t>J</t>
        </is>
      </c>
      <c r="L20" s="24" t="inlineStr">
        <is>
          <t>valor = (2*b*tf^3+(h-2*tf)*tw^3)/3*1.3</t>
        </is>
      </c>
    </row>
    <row r="21">
      <c r="A21" s="17" t="n">
        <v>15</v>
      </c>
      <c r="B21" s="8" t="inlineStr">
        <is>
          <t>Constante de alabeo (Iw·(h−tf)²/4)</t>
        </is>
      </c>
      <c r="C21" s="17" t="inlineStr">
        <is>
          <t>mm⁶</t>
        </is>
      </c>
      <c r="D21" s="27">
        <f>$D$17*($D$11-$D$14)^2/4</f>
        <v/>
      </c>
      <c r="K21" s="17" t="inlineStr">
        <is>
          <t>Cw</t>
        </is>
      </c>
      <c r="L21" s="24" t="inlineStr">
        <is>
          <t>valor = Iw*(h-tf)^2/4</t>
        </is>
      </c>
    </row>
    <row r="22">
      <c r="A22" s="17" t="n">
        <v>16</v>
      </c>
      <c r="B22" s="8" t="inlineStr">
        <is>
          <t>Módulo plástico fuerte (geometría simplificada, tope 1,5·Ss)</t>
        </is>
      </c>
      <c r="C22" s="17" t="inlineStr">
        <is>
          <t>mm³</t>
        </is>
      </c>
      <c r="D22" s="38">
        <f>MIN($D$12*$D$14*($D$11-$D$14)+$D$13*($D$11-2*$D$14)^2/4,1.5*$D$18)</f>
        <v/>
      </c>
      <c r="K22" s="17" t="inlineStr">
        <is>
          <t>Zs</t>
        </is>
      </c>
      <c r="L22" s="24" t="inlineStr">
        <is>
          <t>valor = MIN(b*tf*(h-tf)+tw*(h-2*tf)^2/4,1.5*Ss)</t>
        </is>
      </c>
    </row>
    <row r="23">
      <c r="A23" s="17" t="n">
        <v>17</v>
      </c>
      <c r="B23" s="8" t="inlineStr">
        <is>
          <t>Módulo plástico débil (tope 1,5·Sw)</t>
        </is>
      </c>
      <c r="C23" s="17" t="inlineStr">
        <is>
          <t>mm³</t>
        </is>
      </c>
      <c r="D23" s="38">
        <f>MIN($D$14*$D$12^2/2+($D$11-2*$D$14)*$D$13^2/4,1.5*$D$19)</f>
        <v/>
      </c>
      <c r="K23" s="17" t="inlineStr">
        <is>
          <t>Zw</t>
        </is>
      </c>
      <c r="L23" s="24" t="inlineStr">
        <is>
          <t>valor = MIN(tf*b^2/2+(h-2*tf)*tw^2/4,1.5*Sw)</t>
        </is>
      </c>
    </row>
    <row r="24">
      <c r="A24" s="17" t="n">
        <v>18</v>
      </c>
      <c r="B24" s="8" t="inlineStr">
        <is>
          <t>Radio de giro fuerte</t>
        </is>
      </c>
      <c r="C24" s="17" t="inlineStr">
        <is>
          <t>mm</t>
        </is>
      </c>
      <c r="D24" s="26">
        <f>SQRT($D$16/$D$15)</f>
        <v/>
      </c>
      <c r="K24" s="17" t="inlineStr">
        <is>
          <t>rs</t>
        </is>
      </c>
      <c r="L24" s="24" t="inlineStr">
        <is>
          <t>valor = SQRT(Is/A)</t>
        </is>
      </c>
    </row>
    <row r="25">
      <c r="A25" s="17" t="n">
        <v>19</v>
      </c>
      <c r="B25" s="8" t="inlineStr">
        <is>
          <t>Radio de giro débil</t>
        </is>
      </c>
      <c r="C25" s="17" t="inlineStr">
        <is>
          <t>mm</t>
        </is>
      </c>
      <c r="D25" s="26">
        <f>SQRT($D$17/$D$15)</f>
        <v/>
      </c>
      <c r="K25" s="17" t="inlineStr">
        <is>
          <t>rw</t>
        </is>
      </c>
      <c r="L25" s="24" t="inlineStr">
        <is>
          <t>valor = SQRT(Iw/A)</t>
        </is>
      </c>
    </row>
    <row r="26">
      <c r="A26" s="17" t="n">
        <v>20</v>
      </c>
      <c r="B26" s="8" t="inlineStr">
        <is>
          <t>Radio polar al cuadrado (sección doblemente simétrica)</t>
        </is>
      </c>
      <c r="C26" s="17" t="inlineStr">
        <is>
          <t>mm²</t>
        </is>
      </c>
      <c r="D26" s="38">
        <f>($D$16+$D$17)/$D$15</f>
        <v/>
      </c>
      <c r="K26" s="17" t="inlineStr">
        <is>
          <t>r02</t>
        </is>
      </c>
      <c r="L26" s="24" t="inlineStr">
        <is>
          <t>valor = (Is+Iw)/A</t>
        </is>
      </c>
    </row>
    <row r="27">
      <c r="A27" s="17" t="n">
        <v>21</v>
      </c>
      <c r="B27" s="8" t="inlineStr">
        <is>
          <t>Longitud efectiva, pandeo en el eje fuerte</t>
        </is>
      </c>
      <c r="C27" s="17" t="inlineStr">
        <is>
          <t>mm</t>
        </is>
      </c>
      <c r="D27" s="23" t="n">
        <v>3000</v>
      </c>
      <c r="K27" s="17" t="inlineStr">
        <is>
          <t>klsA</t>
        </is>
      </c>
      <c r="L27" s="24" t="inlineStr">
        <is>
          <t>dato ingresado</t>
        </is>
      </c>
    </row>
    <row r="28">
      <c r="A28" s="17" t="n">
        <v>22</v>
      </c>
      <c r="B28" s="8" t="inlineStr">
        <is>
          <t>Longitud efectiva, pandeo en el eje débil</t>
        </is>
      </c>
      <c r="C28" s="17" t="inlineStr">
        <is>
          <t>mm</t>
        </is>
      </c>
      <c r="D28" s="23" t="n">
        <v>3000</v>
      </c>
      <c r="K28" s="17" t="inlineStr">
        <is>
          <t>klwA</t>
        </is>
      </c>
      <c r="L28" s="24" t="inlineStr">
        <is>
          <t>dato ingresado</t>
        </is>
      </c>
    </row>
    <row r="29">
      <c r="A29" s="17" t="n">
        <v>23</v>
      </c>
      <c r="B29" s="8" t="inlineStr">
        <is>
          <t>Tensión de Euler, eje fuerte</t>
        </is>
      </c>
      <c r="C29" s="17" t="inlineStr">
        <is>
          <t>MPa</t>
        </is>
      </c>
      <c r="D29" s="38">
        <f>PI()^2*$D$7/($D$27/$D$24)^2</f>
        <v/>
      </c>
      <c r="K29" s="17" t="inlineStr">
        <is>
          <t>FesA</t>
        </is>
      </c>
      <c r="L29" s="24" t="inlineStr">
        <is>
          <t>valor = PI()^2*E/(klsA/rs)^2</t>
        </is>
      </c>
    </row>
    <row r="30">
      <c r="A30" s="17" t="n">
        <v>24</v>
      </c>
      <c r="B30" s="8" t="inlineStr">
        <is>
          <t>Tensión de Euler, eje débil</t>
        </is>
      </c>
      <c r="C30" s="17" t="inlineStr">
        <is>
          <t>MPa</t>
        </is>
      </c>
      <c r="D30" s="26">
        <f>PI()^2*$D$7/($D$28/$D$25)^2</f>
        <v/>
      </c>
      <c r="K30" s="17" t="inlineStr">
        <is>
          <t>FewA</t>
        </is>
      </c>
      <c r="L30" s="24" t="inlineStr">
        <is>
          <t>valor = PI()^2*E/(klwA/rw)^2</t>
        </is>
      </c>
    </row>
    <row r="31">
      <c r="A31" s="17" t="n">
        <v>25</v>
      </c>
      <c r="B31" s="8" t="inlineStr">
        <is>
          <t>Tensión de pandeo torsional</t>
        </is>
      </c>
      <c r="C31" s="17" t="inlineStr">
        <is>
          <t>MPa</t>
        </is>
      </c>
      <c r="D31" s="26">
        <f>(PI()^2*$D$7*$D$21/$D$28^2+$D$8*$D$20)/($D$15*$D$26)</f>
        <v/>
      </c>
      <c r="K31" s="17" t="inlineStr">
        <is>
          <t>FezA</t>
        </is>
      </c>
      <c r="L31" s="24" t="inlineStr">
        <is>
          <t>valor = (PI()^2*E*Cw/klwA^2+G*J)/(A*r02)</t>
        </is>
      </c>
    </row>
    <row r="32">
      <c r="A32" s="17" t="n">
        <v>26</v>
      </c>
      <c r="B32" s="8" t="inlineStr">
        <is>
          <t>Tensión elástica crítica (la menor)</t>
        </is>
      </c>
      <c r="C32" s="17" t="inlineStr">
        <is>
          <t>MPa</t>
        </is>
      </c>
      <c r="D32" s="26">
        <f>MIN($D$29,$D$30,$D$31)</f>
        <v/>
      </c>
      <c r="K32" s="17" t="inlineStr">
        <is>
          <t>FeA</t>
        </is>
      </c>
      <c r="L32" s="24" t="inlineStr">
        <is>
          <t>valor = MIN(FesA,FewA,FezA)</t>
        </is>
      </c>
    </row>
    <row r="33">
      <c r="A33" s="17" t="n">
        <v>27</v>
      </c>
      <c r="B33" s="8" t="inlineStr">
        <is>
          <t>Esbeltez adimensional λc</t>
        </is>
      </c>
      <c r="C33" s="17" t="inlineStr"/>
      <c r="D33" s="26">
        <f>SQRT($D$9/$D$32)</f>
        <v/>
      </c>
      <c r="K33" s="17" t="inlineStr">
        <is>
          <t>lcA</t>
        </is>
      </c>
      <c r="L33" s="24" t="inlineStr">
        <is>
          <t>valor = SQRT(Fy/FeA)</t>
        </is>
      </c>
    </row>
    <row r="34">
      <c r="A34" s="17" t="n">
        <v>28</v>
      </c>
      <c r="B34" s="8" t="inlineStr">
        <is>
          <t>Tensión crítica Fcr</t>
        </is>
      </c>
      <c r="C34" s="17" t="inlineStr">
        <is>
          <t>MPa</t>
        </is>
      </c>
      <c r="D34" s="26">
        <f>IF($D$33&lt;=1.5,0.658^($D$33^2),0.877/$D$33^2)*$D$9</f>
        <v/>
      </c>
      <c r="K34" s="17" t="inlineStr">
        <is>
          <t>FcrA</t>
        </is>
      </c>
      <c r="L34" s="24" t="inlineStr">
        <is>
          <t>valor = IF(lcA&lt;=1.5,0.658^(lcA^2),0.877/lcA^2)*Fy</t>
        </is>
      </c>
    </row>
    <row r="35">
      <c r="A35" s="17" t="n">
        <v>29</v>
      </c>
      <c r="B35" s="8" t="inlineStr">
        <is>
          <t>Resistencia de diseño a compresión φc·Pn</t>
        </is>
      </c>
      <c r="C35" s="17" t="inlineStr">
        <is>
          <t>kN</t>
        </is>
      </c>
      <c r="D35" s="26">
        <f>0.85*$D$15*$D$34/1000</f>
        <v/>
      </c>
      <c r="K35" s="17" t="inlineStr">
        <is>
          <t>phiPcA</t>
        </is>
      </c>
      <c r="L35" s="24" t="inlineStr">
        <is>
          <t>valor = 0.85*A*FcrA/1000</t>
        </is>
      </c>
    </row>
    <row r="36">
      <c r="A36" s="17" t="n">
        <v>30</v>
      </c>
      <c r="B36" s="8" t="inlineStr">
        <is>
          <t>Longitud efectiva, pandeo en el eje fuerte</t>
        </is>
      </c>
      <c r="C36" s="17" t="inlineStr">
        <is>
          <t>mm</t>
        </is>
      </c>
      <c r="D36" s="23" t="n">
        <v>4500</v>
      </c>
      <c r="K36" s="17" t="inlineStr">
        <is>
          <t>klsB</t>
        </is>
      </c>
      <c r="L36" s="24" t="inlineStr">
        <is>
          <t>dato ingresado</t>
        </is>
      </c>
    </row>
    <row r="37">
      <c r="A37" s="17" t="n">
        <v>31</v>
      </c>
      <c r="B37" s="8" t="inlineStr">
        <is>
          <t>Longitud efectiva, pandeo en el eje débil</t>
        </is>
      </c>
      <c r="C37" s="17" t="inlineStr">
        <is>
          <t>mm</t>
        </is>
      </c>
      <c r="D37" s="23" t="n">
        <v>4500</v>
      </c>
      <c r="K37" s="17" t="inlineStr">
        <is>
          <t>klwB</t>
        </is>
      </c>
      <c r="L37" s="24" t="inlineStr">
        <is>
          <t>dato ingresado</t>
        </is>
      </c>
    </row>
    <row r="38">
      <c r="A38" s="17" t="n">
        <v>32</v>
      </c>
      <c r="B38" s="8" t="inlineStr">
        <is>
          <t>Tensión de Euler, eje fuerte</t>
        </is>
      </c>
      <c r="C38" s="17" t="inlineStr">
        <is>
          <t>MPa</t>
        </is>
      </c>
      <c r="D38" s="26">
        <f>PI()^2*$D$7/($D$36/$D$24)^2</f>
        <v/>
      </c>
      <c r="K38" s="17" t="inlineStr">
        <is>
          <t>FesB</t>
        </is>
      </c>
      <c r="L38" s="24" t="inlineStr">
        <is>
          <t>valor = PI()^2*E/(klsB/rs)^2</t>
        </is>
      </c>
    </row>
    <row r="39">
      <c r="A39" s="17" t="n">
        <v>33</v>
      </c>
      <c r="B39" s="8" t="inlineStr">
        <is>
          <t>Tensión de Euler, eje débil</t>
        </is>
      </c>
      <c r="C39" s="17" t="inlineStr">
        <is>
          <t>MPa</t>
        </is>
      </c>
      <c r="D39" s="26">
        <f>PI()^2*$D$7/($D$37/$D$25)^2</f>
        <v/>
      </c>
      <c r="K39" s="17" t="inlineStr">
        <is>
          <t>FewB</t>
        </is>
      </c>
      <c r="L39" s="24" t="inlineStr">
        <is>
          <t>valor = PI()^2*E/(klwB/rw)^2</t>
        </is>
      </c>
    </row>
    <row r="40">
      <c r="A40" s="17" t="n">
        <v>34</v>
      </c>
      <c r="B40" s="8" t="inlineStr">
        <is>
          <t>Tensión de pandeo torsional</t>
        </is>
      </c>
      <c r="C40" s="17" t="inlineStr">
        <is>
          <t>MPa</t>
        </is>
      </c>
      <c r="D40" s="26">
        <f>(PI()^2*$D$7*$D$21/$D$37^2+$D$8*$D$20)/($D$15*$D$26)</f>
        <v/>
      </c>
      <c r="K40" s="17" t="inlineStr">
        <is>
          <t>FezB</t>
        </is>
      </c>
      <c r="L40" s="24" t="inlineStr">
        <is>
          <t>valor = (PI()^2*E*Cw/klwB^2+G*J)/(A*r02)</t>
        </is>
      </c>
    </row>
    <row r="41">
      <c r="A41" s="17" t="n">
        <v>35</v>
      </c>
      <c r="B41" s="8" t="inlineStr">
        <is>
          <t>Tensión elástica crítica (la menor)</t>
        </is>
      </c>
      <c r="C41" s="17" t="inlineStr">
        <is>
          <t>MPa</t>
        </is>
      </c>
      <c r="D41" s="26">
        <f>MIN($D$38,$D$39,$D$40)</f>
        <v/>
      </c>
      <c r="K41" s="17" t="inlineStr">
        <is>
          <t>FeB</t>
        </is>
      </c>
      <c r="L41" s="24" t="inlineStr">
        <is>
          <t>valor = MIN(FesB,FewB,FezB)</t>
        </is>
      </c>
    </row>
    <row r="42">
      <c r="A42" s="17" t="n">
        <v>36</v>
      </c>
      <c r="B42" s="8" t="inlineStr">
        <is>
          <t>Esbeltez adimensional λc</t>
        </is>
      </c>
      <c r="C42" s="17" t="inlineStr"/>
      <c r="D42" s="26">
        <f>SQRT($D$9/$D$41)</f>
        <v/>
      </c>
      <c r="K42" s="17" t="inlineStr">
        <is>
          <t>lcB</t>
        </is>
      </c>
      <c r="L42" s="24" t="inlineStr">
        <is>
          <t>valor = SQRT(Fy/FeB)</t>
        </is>
      </c>
    </row>
    <row r="43">
      <c r="A43" s="17" t="n">
        <v>37</v>
      </c>
      <c r="B43" s="8" t="inlineStr">
        <is>
          <t>Tensión crítica Fcr</t>
        </is>
      </c>
      <c r="C43" s="17" t="inlineStr">
        <is>
          <t>MPa</t>
        </is>
      </c>
      <c r="D43" s="26">
        <f>IF($D$42&lt;=1.5,0.658^($D$42^2),0.877/$D$42^2)*$D$9</f>
        <v/>
      </c>
      <c r="K43" s="17" t="inlineStr">
        <is>
          <t>FcrB</t>
        </is>
      </c>
      <c r="L43" s="24" t="inlineStr">
        <is>
          <t>valor = IF(lcB&lt;=1.5,0.658^(lcB^2),0.877/lcB^2)*Fy</t>
        </is>
      </c>
    </row>
    <row r="44">
      <c r="A44" s="17" t="n">
        <v>38</v>
      </c>
      <c r="B44" s="8" t="inlineStr">
        <is>
          <t>Resistencia de diseño a compresión φc·Pn</t>
        </is>
      </c>
      <c r="C44" s="17" t="inlineStr">
        <is>
          <t>kN</t>
        </is>
      </c>
      <c r="D44" s="26">
        <f>0.85*$D$15*$D$43/1000</f>
        <v/>
      </c>
      <c r="K44" s="17" t="inlineStr">
        <is>
          <t>phiPcB</t>
        </is>
      </c>
      <c r="L44" s="24" t="inlineStr">
        <is>
          <t>valor = 0.85*A*FcrB/1000</t>
        </is>
      </c>
    </row>
    <row r="45">
      <c r="A45" s="17" t="n">
        <v>39</v>
      </c>
      <c r="B45" s="8" t="inlineStr">
        <is>
          <t>Longitud efectiva, pandeo en el eje fuerte</t>
        </is>
      </c>
      <c r="C45" s="17" t="inlineStr">
        <is>
          <t>mm</t>
        </is>
      </c>
      <c r="D45" s="23" t="n">
        <v>7000</v>
      </c>
      <c r="K45" s="17" t="inlineStr">
        <is>
          <t>klsC</t>
        </is>
      </c>
      <c r="L45" s="24" t="inlineStr">
        <is>
          <t>dato ingresado</t>
        </is>
      </c>
    </row>
    <row r="46">
      <c r="A46" s="17" t="n">
        <v>40</v>
      </c>
      <c r="B46" s="8" t="inlineStr">
        <is>
          <t>Longitud efectiva, pandeo en el eje débil</t>
        </is>
      </c>
      <c r="C46" s="17" t="inlineStr">
        <is>
          <t>mm</t>
        </is>
      </c>
      <c r="D46" s="23" t="n">
        <v>1500</v>
      </c>
      <c r="K46" s="17" t="inlineStr">
        <is>
          <t>klwC</t>
        </is>
      </c>
      <c r="L46" s="24" t="inlineStr">
        <is>
          <t>dato ingresado</t>
        </is>
      </c>
    </row>
    <row r="47">
      <c r="A47" s="17" t="n">
        <v>41</v>
      </c>
      <c r="B47" s="8" t="inlineStr">
        <is>
          <t>Tensión de Euler, eje fuerte</t>
        </is>
      </c>
      <c r="C47" s="17" t="inlineStr">
        <is>
          <t>MPa</t>
        </is>
      </c>
      <c r="D47" s="26">
        <f>PI()^2*$D$7/($D$45/$D$24)^2</f>
        <v/>
      </c>
      <c r="K47" s="17" t="inlineStr">
        <is>
          <t>FesC</t>
        </is>
      </c>
      <c r="L47" s="24" t="inlineStr">
        <is>
          <t>valor = PI()^2*E/(klsC/rs)^2</t>
        </is>
      </c>
    </row>
    <row r="48">
      <c r="A48" s="17" t="n">
        <v>42</v>
      </c>
      <c r="B48" s="8" t="inlineStr">
        <is>
          <t>Tensión de Euler, eje débil</t>
        </is>
      </c>
      <c r="C48" s="17" t="inlineStr">
        <is>
          <t>MPa</t>
        </is>
      </c>
      <c r="D48" s="26">
        <f>PI()^2*$D$7/($D$46/$D$25)^2</f>
        <v/>
      </c>
      <c r="K48" s="17" t="inlineStr">
        <is>
          <t>FewC</t>
        </is>
      </c>
      <c r="L48" s="24" t="inlineStr">
        <is>
          <t>valor = PI()^2*E/(klwC/rw)^2</t>
        </is>
      </c>
    </row>
    <row r="49">
      <c r="A49" s="17" t="n">
        <v>43</v>
      </c>
      <c r="B49" s="8" t="inlineStr">
        <is>
          <t>Tensión de pandeo torsional</t>
        </is>
      </c>
      <c r="C49" s="17" t="inlineStr">
        <is>
          <t>MPa</t>
        </is>
      </c>
      <c r="D49" s="26">
        <f>(PI()^2*$D$7*$D$21/$D$46^2+$D$8*$D$20)/($D$15*$D$26)</f>
        <v/>
      </c>
      <c r="K49" s="17" t="inlineStr">
        <is>
          <t>FezC</t>
        </is>
      </c>
      <c r="L49" s="24" t="inlineStr">
        <is>
          <t>valor = (PI()^2*E*Cw/klwC^2+G*J)/(A*r02)</t>
        </is>
      </c>
    </row>
    <row r="50">
      <c r="A50" s="17" t="n">
        <v>44</v>
      </c>
      <c r="B50" s="8" t="inlineStr">
        <is>
          <t>Tensión elástica crítica (la menor)</t>
        </is>
      </c>
      <c r="C50" s="17" t="inlineStr">
        <is>
          <t>MPa</t>
        </is>
      </c>
      <c r="D50" s="26">
        <f>MIN($D$47,$D$48,$D$49)</f>
        <v/>
      </c>
      <c r="K50" s="17" t="inlineStr">
        <is>
          <t>FeC</t>
        </is>
      </c>
      <c r="L50" s="24" t="inlineStr">
        <is>
          <t>valor = MIN(FesC,FewC,FezC)</t>
        </is>
      </c>
    </row>
    <row r="51">
      <c r="A51" s="17" t="n">
        <v>45</v>
      </c>
      <c r="B51" s="8" t="inlineStr">
        <is>
          <t>Esbeltez adimensional λc</t>
        </is>
      </c>
      <c r="C51" s="17" t="inlineStr"/>
      <c r="D51" s="36">
        <f>SQRT($D$9/$D$50)</f>
        <v/>
      </c>
      <c r="K51" s="17" t="inlineStr">
        <is>
          <t>lcC</t>
        </is>
      </c>
      <c r="L51" s="24" t="inlineStr">
        <is>
          <t>valor = SQRT(Fy/FeC)</t>
        </is>
      </c>
    </row>
    <row r="52">
      <c r="A52" s="17" t="n">
        <v>46</v>
      </c>
      <c r="B52" s="8" t="inlineStr">
        <is>
          <t>Tensión crítica Fcr</t>
        </is>
      </c>
      <c r="C52" s="17" t="inlineStr">
        <is>
          <t>MPa</t>
        </is>
      </c>
      <c r="D52" s="26">
        <f>IF($D$51&lt;=1.5,0.658^($D$51^2),0.877/$D$51^2)*$D$9</f>
        <v/>
      </c>
      <c r="K52" s="17" t="inlineStr">
        <is>
          <t>FcrC</t>
        </is>
      </c>
      <c r="L52" s="24" t="inlineStr">
        <is>
          <t>valor = IF(lcC&lt;=1.5,0.658^(lcC^2),0.877/lcC^2)*Fy</t>
        </is>
      </c>
    </row>
    <row r="53">
      <c r="A53" s="17" t="n">
        <v>47</v>
      </c>
      <c r="B53" s="8" t="inlineStr">
        <is>
          <t>Resistencia de diseño a compresión φc·Pn</t>
        </is>
      </c>
      <c r="C53" s="17" t="inlineStr">
        <is>
          <t>kN</t>
        </is>
      </c>
      <c r="D53" s="26">
        <f>0.85*$D$15*$D$52/1000</f>
        <v/>
      </c>
      <c r="K53" s="17" t="inlineStr">
        <is>
          <t>phiPcC</t>
        </is>
      </c>
      <c r="L53" s="24" t="inlineStr">
        <is>
          <t>valor = 0.85*A*FcrC/1000</t>
        </is>
      </c>
    </row>
    <row r="55">
      <c r="A55" s="22" t="inlineStr">
        <is>
          <t>COMPARACIÓN: TEORÍA / DATO PUBLICADO  vs  PROGRAMA (Atlas Estructuras 3D)</t>
        </is>
      </c>
      <c r="B55" s="22" t="n"/>
      <c r="C55" s="22" t="n"/>
      <c r="D55" s="22" t="n"/>
      <c r="E55" s="22" t="n"/>
      <c r="F55" s="22" t="n"/>
      <c r="G55" s="22" t="n"/>
      <c r="H55" s="22" t="n"/>
      <c r="I55" s="22" t="n"/>
      <c r="J55" s="22" t="n"/>
      <c r="K55" s="22" t="n"/>
      <c r="L55" s="22" t="n"/>
      <c r="M55" s="22" t="n"/>
      <c r="N55" s="22" t="n"/>
    </row>
    <row r="56" ht="30" customHeight="1">
      <c r="A56" s="5" t="inlineStr">
        <is>
          <t>#</t>
        </is>
      </c>
      <c r="B56" s="5" t="inlineStr">
        <is>
          <t>Comprobación</t>
        </is>
      </c>
      <c r="C56" s="5" t="inlineStr">
        <is>
          <t>Unidad</t>
        </is>
      </c>
      <c r="D56" s="5" t="inlineStr">
        <is>
          <t>Teoría / publicado</t>
        </is>
      </c>
      <c r="E56" s="5" t="inlineStr">
        <is>
          <t>Programa</t>
        </is>
      </c>
      <c r="F56" s="5" t="inlineStr">
        <is>
          <t>Diferencia (prog. − teoría)</t>
        </is>
      </c>
      <c r="G56" s="5" t="inlineStr">
        <is>
          <t>Error relativo</t>
        </is>
      </c>
      <c r="H56" s="5" t="inlineStr">
        <is>
          <t>Tol. relativa</t>
        </is>
      </c>
      <c r="I56" s="5" t="inlineStr">
        <is>
          <t>Tol. absoluta</t>
        </is>
      </c>
      <c r="J56" s="5" t="inlineStr">
        <is>
          <t>Estado</t>
        </is>
      </c>
      <c r="K56" s="5" t="inlineStr">
        <is>
          <t>Origen</t>
        </is>
      </c>
      <c r="L56" s="5" t="inlineStr">
        <is>
          <t>Expresión de la teoría (texto)</t>
        </is>
      </c>
      <c r="M56" s="5" t="inlineStr">
        <is>
          <t>Dónde se lee en el programa</t>
        </is>
      </c>
      <c r="N56" s="5" t="inlineStr">
        <is>
          <t>Nota</t>
        </is>
      </c>
    </row>
    <row r="57" ht="16" customHeight="1">
      <c r="A57" s="17" t="n">
        <v>1</v>
      </c>
      <c r="B57" s="8" t="inlineStr">
        <is>
          <t>A) φc·Pn con KL = 3,0 m (gobierna el eje débil)</t>
        </is>
      </c>
      <c r="C57" s="17" t="inlineStr">
        <is>
          <t>kN</t>
        </is>
      </c>
      <c r="D57" s="26">
        <f>$D$35</f>
        <v/>
      </c>
      <c r="E57" s="25" t="n">
        <v>231.4347148287456</v>
      </c>
      <c r="F57" s="27">
        <f>E57-D57</f>
        <v/>
      </c>
      <c r="G57" s="28">
        <f>IF(ABS(D57)&gt;0.000000000001,F57/D57,"—")</f>
        <v/>
      </c>
      <c r="H57" s="29" t="n">
        <v>0.0001</v>
      </c>
      <c r="I57" s="30" t="n">
        <v>1e-06</v>
      </c>
      <c r="J57" s="31">
        <f>IF(ABS(F57)&lt;=MAX(H57*ABS(D57),I57),"OK","NO")</f>
        <v/>
      </c>
      <c r="K57" s="17" t="inlineStr">
        <is>
          <t>Fórmula</t>
        </is>
      </c>
      <c r="L57" s="9" t="inlineStr">
        <is>
          <t>phiPcA</t>
        </is>
      </c>
      <c r="M57" s="9" t="inlineStr">
        <is>
          <t>Barra 1: φc·Pn compresión (verificación de perfiles)</t>
        </is>
      </c>
      <c r="N57" s="9" t="inlineStr"/>
    </row>
    <row r="58" ht="16" customHeight="1">
      <c r="A58" s="17" t="n">
        <v>2</v>
      </c>
      <c r="B58" s="8" t="inlineStr">
        <is>
          <t>B) φc·Pn con KL = 4,5 m (gobierna el eje débil)</t>
        </is>
      </c>
      <c r="C58" s="17" t="inlineStr">
        <is>
          <t>kN</t>
        </is>
      </c>
      <c r="D58" s="26">
        <f>$D$44</f>
        <v/>
      </c>
      <c r="E58" s="25" t="n">
        <v>103.1838140555529</v>
      </c>
      <c r="F58" s="27">
        <f>E58-D58</f>
        <v/>
      </c>
      <c r="G58" s="28">
        <f>IF(ABS(D58)&gt;0.000000000001,F58/D58,"—")</f>
        <v/>
      </c>
      <c r="H58" s="29" t="n">
        <v>0.0001</v>
      </c>
      <c r="I58" s="30" t="n">
        <v>1e-06</v>
      </c>
      <c r="J58" s="31">
        <f>IF(ABS(F58)&lt;=MAX(H58*ABS(D58),I58),"OK","NO")</f>
        <v/>
      </c>
      <c r="K58" s="17" t="inlineStr">
        <is>
          <t>Fórmula</t>
        </is>
      </c>
      <c r="L58" s="9" t="inlineStr">
        <is>
          <t>phiPcB</t>
        </is>
      </c>
      <c r="M58" s="9" t="inlineStr">
        <is>
          <t>Barra 2: φc·Pn compresión (verificación de perfiles)</t>
        </is>
      </c>
      <c r="N58" s="9" t="inlineStr"/>
    </row>
    <row r="59" ht="28" customHeight="1">
      <c r="A59" s="17" t="n">
        <v>3</v>
      </c>
      <c r="B59" s="8" t="inlineStr">
        <is>
          <t>C) φc·Pn con KLs = 7,0 m y KLw = 1,5 m (gobierna el eje fuerte)</t>
        </is>
      </c>
      <c r="C59" s="17" t="inlineStr">
        <is>
          <t>kN</t>
        </is>
      </c>
      <c r="D59" s="26">
        <f>$D$53</f>
        <v/>
      </c>
      <c r="E59" s="25" t="n">
        <v>397.9174772379831</v>
      </c>
      <c r="F59" s="27">
        <f>E59-D59</f>
        <v/>
      </c>
      <c r="G59" s="28">
        <f>IF(ABS(D59)&gt;0.000000000001,F59/D59,"—")</f>
        <v/>
      </c>
      <c r="H59" s="29" t="n">
        <v>0.0001</v>
      </c>
      <c r="I59" s="30" t="n">
        <v>1e-06</v>
      </c>
      <c r="J59" s="31">
        <f>IF(ABS(F59)&lt;=MAX(H59*ABS(D59),I59),"OK","NO")</f>
        <v/>
      </c>
      <c r="K59" s="17" t="inlineStr">
        <is>
          <t>Fórmula</t>
        </is>
      </c>
      <c r="L59" s="9" t="inlineStr">
        <is>
          <t>phiPcC</t>
        </is>
      </c>
      <c r="M59" s="9" t="inlineStr">
        <is>
          <t>Barra 3: φc·Pn compresión (verificación de perfiles)</t>
        </is>
      </c>
      <c r="N59" s="9" t="inlineStr"/>
    </row>
    <row r="60" ht="28" customHeight="1">
      <c r="A60" s="17" t="n">
        <v>4</v>
      </c>
      <c r="B60" s="8" t="inlineStr">
        <is>
          <t>A) Relación de uso Pu / φc·Pn</t>
        </is>
      </c>
      <c r="C60" s="17" t="inlineStr"/>
      <c r="D60" s="36">
        <f>$D$10/$D$35</f>
        <v/>
      </c>
      <c r="E60" s="37" t="n">
        <v>0.4320872954344679</v>
      </c>
      <c r="F60" s="27">
        <f>E60-D60</f>
        <v/>
      </c>
      <c r="G60" s="28">
        <f>IF(ABS(D60)&gt;0.000000000001,F60/D60,"—")</f>
        <v/>
      </c>
      <c r="H60" s="29" t="n">
        <v>0.0001</v>
      </c>
      <c r="I60" s="30" t="n">
        <v>1e-06</v>
      </c>
      <c r="J60" s="31">
        <f>IF(ABS(F60)&lt;=MAX(H60*ABS(D60),I60),"OK","NO")</f>
        <v/>
      </c>
      <c r="K60" s="17" t="inlineStr">
        <is>
          <t>Fórmula</t>
        </is>
      </c>
      <c r="L60" s="9" t="inlineStr">
        <is>
          <t>Pu/phiPcA</t>
        </is>
      </c>
      <c r="M60" s="9" t="inlineStr">
        <is>
          <t>Barra 1: relación de uso r máxima entre combinaciones de resistencia</t>
        </is>
      </c>
      <c r="N60" s="9" t="inlineStr"/>
    </row>
    <row r="61" ht="28" customHeight="1">
      <c r="A61" s="17" t="n">
        <v>5</v>
      </c>
      <c r="B61" s="8" t="inlineStr">
        <is>
          <t>B) Relación de uso Pu / φc·Pn</t>
        </is>
      </c>
      <c r="C61" s="17" t="inlineStr"/>
      <c r="D61" s="36">
        <f>$D$10/$D$44</f>
        <v/>
      </c>
      <c r="E61" s="37" t="n">
        <v>0.9691442491761475</v>
      </c>
      <c r="F61" s="27">
        <f>E61-D61</f>
        <v/>
      </c>
      <c r="G61" s="28">
        <f>IF(ABS(D61)&gt;0.000000000001,F61/D61,"—")</f>
        <v/>
      </c>
      <c r="H61" s="29" t="n">
        <v>0.0001</v>
      </c>
      <c r="I61" s="30" t="n">
        <v>1e-06</v>
      </c>
      <c r="J61" s="31">
        <f>IF(ABS(F61)&lt;=MAX(H61*ABS(D61),I61),"OK","NO")</f>
        <v/>
      </c>
      <c r="K61" s="17" t="inlineStr">
        <is>
          <t>Fórmula</t>
        </is>
      </c>
      <c r="L61" s="9" t="inlineStr">
        <is>
          <t>Pu/phiPcB</t>
        </is>
      </c>
      <c r="M61" s="9" t="inlineStr">
        <is>
          <t>Barra 2: relación de uso r máxima entre combinaciones de resistencia</t>
        </is>
      </c>
      <c r="N61" s="9" t="inlineStr"/>
    </row>
    <row r="62" ht="28" customHeight="1">
      <c r="A62" s="17" t="n">
        <v>6</v>
      </c>
      <c r="B62" s="8" t="inlineStr">
        <is>
          <t>C) Relación de uso Pu / φc·Pn</t>
        </is>
      </c>
      <c r="C62" s="17" t="inlineStr"/>
      <c r="D62" s="36">
        <f>$D$10/$D$53</f>
        <v/>
      </c>
      <c r="E62" s="37" t="n">
        <v>0.2513083885988573</v>
      </c>
      <c r="F62" s="27">
        <f>E62-D62</f>
        <v/>
      </c>
      <c r="G62" s="28">
        <f>IF(ABS(D62)&gt;0.000000000001,F62/D62,"—")</f>
        <v/>
      </c>
      <c r="H62" s="29" t="n">
        <v>0.0001</v>
      </c>
      <c r="I62" s="30" t="n">
        <v>1e-06</v>
      </c>
      <c r="J62" s="31">
        <f>IF(ABS(F62)&lt;=MAX(H62*ABS(D62),I62),"OK","NO")</f>
        <v/>
      </c>
      <c r="K62" s="17" t="inlineStr">
        <is>
          <t>Fórmula</t>
        </is>
      </c>
      <c r="L62" s="9" t="inlineStr">
        <is>
          <t>Pu/phiPcC</t>
        </is>
      </c>
      <c r="M62" s="9" t="inlineStr">
        <is>
          <t>Barra 3: relación de uso r máxima entre combinaciones de resistencia</t>
        </is>
      </c>
      <c r="N62" s="9" t="inlineStr"/>
    </row>
    <row r="63" ht="28" customHeight="1">
      <c r="A63" s="17" t="n">
        <v>7</v>
      </c>
      <c r="B63" s="8" t="inlineStr">
        <is>
          <t>Esfuerzo axil en la columna A (compresión −)</t>
        </is>
      </c>
      <c r="C63" s="17" t="inlineStr">
        <is>
          <t>kN</t>
        </is>
      </c>
      <c r="D63" s="26">
        <f>-$D$10</f>
        <v/>
      </c>
      <c r="E63" s="25" t="n">
        <v>-100</v>
      </c>
      <c r="F63" s="27">
        <f>E63-D63</f>
        <v/>
      </c>
      <c r="G63" s="28">
        <f>IF(ABS(D63)&gt;0.000000000001,F63/D63,"—")</f>
        <v/>
      </c>
      <c r="H63" s="29" t="n">
        <v>0.0001</v>
      </c>
      <c r="I63" s="30" t="n">
        <v>1e-06</v>
      </c>
      <c r="J63" s="31">
        <f>IF(ABS(F63)&lt;=MAX(H63*ABS(D63),I63),"OK","NO")</f>
        <v/>
      </c>
      <c r="K63" s="17" t="inlineStr">
        <is>
          <t>Fórmula</t>
        </is>
      </c>
      <c r="L63" s="9" t="inlineStr">
        <is>
          <t>-Pu</t>
        </is>
      </c>
      <c r="M63" s="9" t="inlineStr">
        <is>
          <t>Barra 1, en x = 0.5·L, esfuerzo axil N (tracción +) · combinación «C1: Pu mayorada»</t>
        </is>
      </c>
      <c r="N63" s="9" t="inlineStr"/>
    </row>
    <row r="65">
      <c r="B65" s="4" t="inlineStr">
        <is>
          <t>Comprobaciones dentro de tolerancia</t>
        </is>
      </c>
      <c r="D65" s="4">
        <f>COUNTIF(J57:J63,"OK")</f>
        <v/>
      </c>
      <c r="E65" s="4">
        <f>ROWS(J57:J63)</f>
        <v/>
      </c>
      <c r="F65" s="4">
        <f>IF(D65=E65,"VERIFICA","DIFIERE")</f>
        <v/>
      </c>
    </row>
    <row r="66">
      <c r="B66" s="2" t="inlineStr">
        <is>
          <t>Azul = dato ingresado o valor que entregó el programa (pegado); negro = fórmula de Excel. El valor «Programa» es el resultado del motor de cálculo de la app para el mismo modelo.</t>
        </is>
      </c>
    </row>
  </sheetData>
  <mergeCells count="1">
    <mergeCell ref="A3:L3"/>
  </mergeCells>
  <conditionalFormatting sqref="J57:J63">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43.xml><?xml version="1.0" encoding="utf-8"?>
<worksheet xmlns="http://schemas.openxmlformats.org/spreadsheetml/2006/main">
  <sheetPr>
    <outlinePr summaryBelow="1" summaryRight="1"/>
    <pageSetUpPr fitToPage="1"/>
  </sheetPr>
  <dimension ref="A1:N65"/>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F02 · Flexión con pandeo lateral-torsional: IPE 300 en los tres regímenes</t>
        </is>
      </c>
    </row>
    <row r="2">
      <c r="A2" s="2" t="inlineStr">
        <is>
          <t>Fórmulas del Reglamento.  Fuente: Fórmulas del Reglamento CIRSOC 301-2005 (capítulos D, E, F, H) recalculadas aparte; no provienen de un ejemplo publicado</t>
        </is>
      </c>
    </row>
    <row r="3" ht="54" customHeight="1">
      <c r="A3" s="14" t="inlineStr">
        <is>
          <t>Enunciado. Tres vigas IPE 300 biapoyadas con carga uniforme mayorada y longitud sin arriostrar igual a la luz: 1,2 m (Lb ≤ Lp: plástica), 3,5 m (Lp &lt; Lb ≤ Lr: inelástica) y 9,0 m (Lb &gt; Lr: elástica). Resistencia φb·Mn = 0,90·Mn con Cb = 1, Lp = 1,76·rw·√(E/Fy), FL = Fy − 69 MPa, X1, X2 y Lr del CIRSOC 301-2005 cap. F (AISC-LRFD 1999). Se verifican también el momento resistente de eje débil φb·Mw, la resistencia a corte φv·Vn = 0,90·0,6·Fy·h·tw y la relación de uso. Recálculo independiente de las fórmulas del Reglamento.</t>
        </is>
      </c>
    </row>
    <row r="5">
      <c r="A5" s="22" t="inlineStr">
        <is>
          <t>DATOS DEL EJERCICIO</t>
        </is>
      </c>
      <c r="B5" s="22" t="n"/>
      <c r="C5" s="22" t="n"/>
      <c r="D5" s="22" t="n"/>
      <c r="E5" s="22" t="n"/>
      <c r="F5" s="22" t="n"/>
      <c r="G5" s="22" t="n"/>
      <c r="H5" s="22" t="n"/>
      <c r="I5" s="22" t="n"/>
      <c r="J5" s="22" t="n"/>
      <c r="K5" s="22" t="n"/>
      <c r="L5" s="22" t="n"/>
      <c r="M5" s="22" t="n"/>
      <c r="N5" s="22" t="n"/>
    </row>
    <row r="6">
      <c r="A6" s="5" t="inlineStr">
        <is>
          <t>#</t>
        </is>
      </c>
      <c r="B6" s="5" t="inlineStr">
        <is>
          <t>Dato</t>
        </is>
      </c>
      <c r="C6" s="5" t="inlineStr">
        <is>
          <t>Unidad</t>
        </is>
      </c>
      <c r="D6" s="5" t="inlineStr">
        <is>
          <t>Valor</t>
        </is>
      </c>
      <c r="K6" s="5" t="inlineStr">
        <is>
          <t>Símbolo</t>
        </is>
      </c>
      <c r="L6" s="5" t="inlineStr">
        <is>
          <t>Fórmula (texto)</t>
        </is>
      </c>
    </row>
    <row r="7">
      <c r="A7" s="17" t="n">
        <v>1</v>
      </c>
      <c r="B7" s="8" t="inlineStr">
        <is>
          <t>Módulo elástico</t>
        </is>
      </c>
      <c r="C7" s="17" t="inlineStr">
        <is>
          <t>MPa</t>
        </is>
      </c>
      <c r="D7" s="23" t="n">
        <v>200000</v>
      </c>
      <c r="K7" s="17" t="inlineStr">
        <is>
          <t>E</t>
        </is>
      </c>
      <c r="L7" s="24" t="inlineStr">
        <is>
          <t>dato ingresado</t>
        </is>
      </c>
    </row>
    <row r="8">
      <c r="A8" s="17" t="n">
        <v>2</v>
      </c>
      <c r="B8" s="8" t="inlineStr">
        <is>
          <t>Módulo de corte</t>
        </is>
      </c>
      <c r="C8" s="17" t="inlineStr">
        <is>
          <t>MPa</t>
        </is>
      </c>
      <c r="D8" s="23" t="n">
        <v>77200</v>
      </c>
      <c r="K8" s="17" t="inlineStr">
        <is>
          <t>G</t>
        </is>
      </c>
      <c r="L8" s="24" t="inlineStr">
        <is>
          <t>dato ingresado</t>
        </is>
      </c>
    </row>
    <row r="9">
      <c r="A9" s="17" t="n">
        <v>3</v>
      </c>
      <c r="B9" s="8" t="inlineStr">
        <is>
          <t>Tensión de fluencia F-24</t>
        </is>
      </c>
      <c r="C9" s="17" t="inlineStr">
        <is>
          <t>MPa</t>
        </is>
      </c>
      <c r="D9" s="25" t="n">
        <v>235</v>
      </c>
      <c r="K9" s="17" t="inlineStr">
        <is>
          <t>Fy</t>
        </is>
      </c>
      <c r="L9" s="24" t="inlineStr">
        <is>
          <t>dato ingresado</t>
        </is>
      </c>
    </row>
    <row r="10">
      <c r="A10" s="17" t="n">
        <v>4</v>
      </c>
      <c r="B10" s="8" t="inlineStr">
        <is>
          <t>Carga mayorada, viga 1</t>
        </is>
      </c>
      <c r="C10" s="17" t="inlineStr">
        <is>
          <t>kN/m</t>
        </is>
      </c>
      <c r="D10" s="25" t="n">
        <v>300</v>
      </c>
      <c r="K10" s="17" t="inlineStr">
        <is>
          <t>q1</t>
        </is>
      </c>
      <c r="L10" s="24" t="inlineStr">
        <is>
          <t>dato ingresado</t>
        </is>
      </c>
    </row>
    <row r="11">
      <c r="A11" s="17" t="n">
        <v>5</v>
      </c>
      <c r="B11" s="8" t="inlineStr">
        <is>
          <t>Carga mayorada, viga 2</t>
        </is>
      </c>
      <c r="C11" s="17" t="inlineStr">
        <is>
          <t>kN/m</t>
        </is>
      </c>
      <c r="D11" s="25" t="n">
        <v>50</v>
      </c>
      <c r="K11" s="17" t="inlineStr">
        <is>
          <t>q2</t>
        </is>
      </c>
      <c r="L11" s="24" t="inlineStr">
        <is>
          <t>dato ingresado</t>
        </is>
      </c>
    </row>
    <row r="12">
      <c r="A12" s="17" t="n">
        <v>6</v>
      </c>
      <c r="B12" s="8" t="inlineStr">
        <is>
          <t>Carga mayorada, viga 3</t>
        </is>
      </c>
      <c r="C12" s="17" t="inlineStr">
        <is>
          <t>kN/m</t>
        </is>
      </c>
      <c r="D12" s="25" t="n">
        <v>4</v>
      </c>
      <c r="K12" s="17" t="inlineStr">
        <is>
          <t>q3</t>
        </is>
      </c>
      <c r="L12" s="24" t="inlineStr">
        <is>
          <t>dato ingresado</t>
        </is>
      </c>
    </row>
    <row r="13">
      <c r="A13" s="17" t="n">
        <v>7</v>
      </c>
      <c r="B13" s="8" t="inlineStr">
        <is>
          <t>IPE 300: altura</t>
        </is>
      </c>
      <c r="C13" s="17" t="inlineStr">
        <is>
          <t>mm</t>
        </is>
      </c>
      <c r="D13" s="25" t="n">
        <v>300</v>
      </c>
      <c r="K13" s="17" t="inlineStr">
        <is>
          <t>h</t>
        </is>
      </c>
      <c r="L13" s="24" t="inlineStr">
        <is>
          <t>dato ingresado</t>
        </is>
      </c>
    </row>
    <row r="14">
      <c r="A14" s="17" t="n">
        <v>8</v>
      </c>
      <c r="B14" s="8" t="inlineStr">
        <is>
          <t>Ancho de ala</t>
        </is>
      </c>
      <c r="C14" s="17" t="inlineStr">
        <is>
          <t>mm</t>
        </is>
      </c>
      <c r="D14" s="25" t="n">
        <v>150</v>
      </c>
      <c r="K14" s="17" t="inlineStr">
        <is>
          <t>b</t>
        </is>
      </c>
      <c r="L14" s="24" t="inlineStr">
        <is>
          <t>dato ingresado</t>
        </is>
      </c>
    </row>
    <row r="15">
      <c r="A15" s="17" t="n">
        <v>9</v>
      </c>
      <c r="B15" s="8" t="inlineStr">
        <is>
          <t>Espesor de alma</t>
        </is>
      </c>
      <c r="C15" s="17" t="inlineStr">
        <is>
          <t>mm</t>
        </is>
      </c>
      <c r="D15" s="25" t="n">
        <v>7.1</v>
      </c>
      <c r="K15" s="17" t="inlineStr">
        <is>
          <t>tw</t>
        </is>
      </c>
      <c r="L15" s="24" t="inlineStr">
        <is>
          <t>dato ingresado</t>
        </is>
      </c>
    </row>
    <row r="16">
      <c r="A16" s="17" t="n">
        <v>10</v>
      </c>
      <c r="B16" s="8" t="inlineStr">
        <is>
          <t>Espesor de ala</t>
        </is>
      </c>
      <c r="C16" s="17" t="inlineStr">
        <is>
          <t>mm</t>
        </is>
      </c>
      <c r="D16" s="25" t="n">
        <v>10.7</v>
      </c>
      <c r="K16" s="17" t="inlineStr">
        <is>
          <t>tf</t>
        </is>
      </c>
      <c r="L16" s="24" t="inlineStr">
        <is>
          <t>dato ingresado</t>
        </is>
      </c>
    </row>
    <row r="17">
      <c r="A17" s="17" t="n">
        <v>11</v>
      </c>
      <c r="B17" s="8" t="inlineStr">
        <is>
          <t>Área</t>
        </is>
      </c>
      <c r="C17" s="17" t="inlineStr">
        <is>
          <t>mm²</t>
        </is>
      </c>
      <c r="D17" s="23" t="n">
        <v>5380</v>
      </c>
      <c r="K17" s="17" t="inlineStr">
        <is>
          <t>A</t>
        </is>
      </c>
      <c r="L17" s="24" t="inlineStr">
        <is>
          <t>dato ingresado</t>
        </is>
      </c>
    </row>
    <row r="18">
      <c r="A18" s="17" t="n">
        <v>12</v>
      </c>
      <c r="B18" s="8" t="inlineStr">
        <is>
          <t>Inercia, eje fuerte (tabla)</t>
        </is>
      </c>
      <c r="C18" s="17" t="inlineStr">
        <is>
          <t>mm⁴</t>
        </is>
      </c>
      <c r="D18" s="35" t="n">
        <v>83560000</v>
      </c>
      <c r="K18" s="17" t="inlineStr">
        <is>
          <t>Is</t>
        </is>
      </c>
      <c r="L18" s="24" t="inlineStr">
        <is>
          <t>dato ingresado</t>
        </is>
      </c>
    </row>
    <row r="19">
      <c r="A19" s="17" t="n">
        <v>13</v>
      </c>
      <c r="B19" s="8" t="inlineStr">
        <is>
          <t>Inercia, eje débil (tabla)</t>
        </is>
      </c>
      <c r="C19" s="17" t="inlineStr">
        <is>
          <t>mm⁴</t>
        </is>
      </c>
      <c r="D19" s="23" t="n">
        <v>6040000</v>
      </c>
      <c r="K19" s="17" t="inlineStr">
        <is>
          <t>Iw</t>
        </is>
      </c>
      <c r="L19" s="24" t="inlineStr">
        <is>
          <t>dato ingresado</t>
        </is>
      </c>
    </row>
    <row r="20">
      <c r="A20" s="17" t="n">
        <v>14</v>
      </c>
      <c r="B20" s="8" t="inlineStr">
        <is>
          <t>Módulo resistente fuerte (tabla)</t>
        </is>
      </c>
      <c r="C20" s="17" t="inlineStr">
        <is>
          <t>mm³</t>
        </is>
      </c>
      <c r="D20" s="23" t="n">
        <v>557000</v>
      </c>
      <c r="K20" s="17" t="inlineStr">
        <is>
          <t>Ss</t>
        </is>
      </c>
      <c r="L20" s="24" t="inlineStr">
        <is>
          <t>dato ingresado</t>
        </is>
      </c>
    </row>
    <row r="21">
      <c r="A21" s="17" t="n">
        <v>15</v>
      </c>
      <c r="B21" s="8" t="inlineStr">
        <is>
          <t>Módulo resistente débil (tabla)</t>
        </is>
      </c>
      <c r="C21" s="17" t="inlineStr">
        <is>
          <t>mm³</t>
        </is>
      </c>
      <c r="D21" s="23" t="n">
        <v>80500</v>
      </c>
      <c r="K21" s="17" t="inlineStr">
        <is>
          <t>Sw</t>
        </is>
      </c>
      <c r="L21" s="24" t="inlineStr">
        <is>
          <t>dato ingresado</t>
        </is>
      </c>
    </row>
    <row r="22">
      <c r="A22" s="17" t="n">
        <v>16</v>
      </c>
      <c r="B22" s="8" t="inlineStr">
        <is>
          <t>Constante de torsión (aproximación del programa para perfiles I laminados)</t>
        </is>
      </c>
      <c r="C22" s="17" t="inlineStr">
        <is>
          <t>mm⁴</t>
        </is>
      </c>
      <c r="D22" s="38">
        <f>(2*$D$14*$D$16^3+($D$13-2*$D$16)*$D$15^3)/3*1.3</f>
        <v/>
      </c>
      <c r="K22" s="17" t="inlineStr">
        <is>
          <t>J</t>
        </is>
      </c>
      <c r="L22" s="24" t="inlineStr">
        <is>
          <t>valor = (2*b*tf^3+(h-2*tf)*tw^3)/3*1.3</t>
        </is>
      </c>
    </row>
    <row r="23">
      <c r="A23" s="17" t="n">
        <v>17</v>
      </c>
      <c r="B23" s="8" t="inlineStr">
        <is>
          <t>Constante de alabeo (Iw·(h−tf)²/4)</t>
        </is>
      </c>
      <c r="C23" s="17" t="inlineStr">
        <is>
          <t>mm⁶</t>
        </is>
      </c>
      <c r="D23" s="27">
        <f>$D$19*($D$13-$D$16)^2/4</f>
        <v/>
      </c>
      <c r="K23" s="17" t="inlineStr">
        <is>
          <t>Cw</t>
        </is>
      </c>
      <c r="L23" s="24" t="inlineStr">
        <is>
          <t>valor = Iw*(h-tf)^2/4</t>
        </is>
      </c>
    </row>
    <row r="24">
      <c r="A24" s="17" t="n">
        <v>18</v>
      </c>
      <c r="B24" s="8" t="inlineStr">
        <is>
          <t>Módulo plástico fuerte (geometría simplificada, tope 1,5·Ss)</t>
        </is>
      </c>
      <c r="C24" s="17" t="inlineStr">
        <is>
          <t>mm³</t>
        </is>
      </c>
      <c r="D24" s="38">
        <f>MIN($D$14*$D$16*($D$13-$D$16)+$D$15*($D$13-2*$D$16)^2/4,1.5*$D$20)</f>
        <v/>
      </c>
      <c r="K24" s="17" t="inlineStr">
        <is>
          <t>Zs</t>
        </is>
      </c>
      <c r="L24" s="24" t="inlineStr">
        <is>
          <t>valor = MIN(b*tf*(h-tf)+tw*(h-2*tf)^2/4,1.5*Ss)</t>
        </is>
      </c>
    </row>
    <row r="25">
      <c r="A25" s="17" t="n">
        <v>19</v>
      </c>
      <c r="B25" s="8" t="inlineStr">
        <is>
          <t>Módulo plástico débil (tope 1,5·Sw)</t>
        </is>
      </c>
      <c r="C25" s="17" t="inlineStr">
        <is>
          <t>mm³</t>
        </is>
      </c>
      <c r="D25" s="38">
        <f>MIN($D$16*$D$14^2/2+($D$13-2*$D$16)*$D$15^2/4,1.5*$D$21)</f>
        <v/>
      </c>
      <c r="K25" s="17" t="inlineStr">
        <is>
          <t>Zw</t>
        </is>
      </c>
      <c r="L25" s="24" t="inlineStr">
        <is>
          <t>valor = MIN(tf*b^2/2+(h-2*tf)*tw^2/4,1.5*Sw)</t>
        </is>
      </c>
    </row>
    <row r="26">
      <c r="A26" s="17" t="n">
        <v>20</v>
      </c>
      <c r="B26" s="8" t="inlineStr">
        <is>
          <t>Radio de giro fuerte</t>
        </is>
      </c>
      <c r="C26" s="17" t="inlineStr">
        <is>
          <t>mm</t>
        </is>
      </c>
      <c r="D26" s="26">
        <f>SQRT($D$18/$D$17)</f>
        <v/>
      </c>
      <c r="K26" s="17" t="inlineStr">
        <is>
          <t>rs</t>
        </is>
      </c>
      <c r="L26" s="24" t="inlineStr">
        <is>
          <t>valor = SQRT(Is/A)</t>
        </is>
      </c>
    </row>
    <row r="27">
      <c r="A27" s="17" t="n">
        <v>21</v>
      </c>
      <c r="B27" s="8" t="inlineStr">
        <is>
          <t>Radio de giro débil</t>
        </is>
      </c>
      <c r="C27" s="17" t="inlineStr">
        <is>
          <t>mm</t>
        </is>
      </c>
      <c r="D27" s="26">
        <f>SQRT($D$19/$D$17)</f>
        <v/>
      </c>
      <c r="K27" s="17" t="inlineStr">
        <is>
          <t>rw</t>
        </is>
      </c>
      <c r="L27" s="24" t="inlineStr">
        <is>
          <t>valor = SQRT(Iw/A)</t>
        </is>
      </c>
    </row>
    <row r="28">
      <c r="A28" s="17" t="n">
        <v>22</v>
      </c>
      <c r="B28" s="8" t="inlineStr">
        <is>
          <t>Radio polar al cuadrado (sección doblemente simétrica)</t>
        </is>
      </c>
      <c r="C28" s="17" t="inlineStr">
        <is>
          <t>mm²</t>
        </is>
      </c>
      <c r="D28" s="38">
        <f>($D$18+$D$19)/$D$17</f>
        <v/>
      </c>
      <c r="K28" s="17" t="inlineStr">
        <is>
          <t>r02</t>
        </is>
      </c>
      <c r="L28" s="24" t="inlineStr">
        <is>
          <t>valor = (Is+Iw)/A</t>
        </is>
      </c>
    </row>
    <row r="29">
      <c r="A29" s="17" t="n">
        <v>23</v>
      </c>
      <c r="B29" s="8" t="inlineStr">
        <is>
          <t>Momento plástico Mp = Fy·Zs</t>
        </is>
      </c>
      <c r="C29" s="17" t="inlineStr">
        <is>
          <t>N·mm</t>
        </is>
      </c>
      <c r="D29" s="27">
        <f>$D$9*$D$24</f>
        <v/>
      </c>
      <c r="K29" s="17" t="inlineStr">
        <is>
          <t>Mp</t>
        </is>
      </c>
      <c r="L29" s="24" t="inlineStr">
        <is>
          <t>valor = Fy*Zs</t>
        </is>
      </c>
    </row>
    <row r="30">
      <c r="A30" s="17" t="n">
        <v>24</v>
      </c>
      <c r="B30" s="8" t="inlineStr">
        <is>
          <t>Longitud límite plástica Lp = 1,76·rw·√(E/Fy)</t>
        </is>
      </c>
      <c r="C30" s="17" t="inlineStr">
        <is>
          <t>mm</t>
        </is>
      </c>
      <c r="D30" s="38">
        <f>1.76*$D$27*SQRT($D$7/$D$9)</f>
        <v/>
      </c>
      <c r="K30" s="17" t="inlineStr">
        <is>
          <t>Lp</t>
        </is>
      </c>
      <c r="L30" s="24" t="inlineStr">
        <is>
          <t>valor = 1.76*rw*SQRT(E/Fy)</t>
        </is>
      </c>
    </row>
    <row r="31">
      <c r="A31" s="17" t="n">
        <v>25</v>
      </c>
      <c r="B31" s="8" t="inlineStr">
        <is>
          <t>FL = Fy − 69 MPa</t>
        </is>
      </c>
      <c r="C31" s="17" t="inlineStr">
        <is>
          <t>MPa</t>
        </is>
      </c>
      <c r="D31" s="26">
        <f>$D$9-69</f>
        <v/>
      </c>
      <c r="K31" s="17" t="inlineStr">
        <is>
          <t>FL</t>
        </is>
      </c>
      <c r="L31" s="24" t="inlineStr">
        <is>
          <t>valor = Fy-69</t>
        </is>
      </c>
    </row>
    <row r="32">
      <c r="A32" s="17" t="n">
        <v>26</v>
      </c>
      <c r="B32" s="8" t="inlineStr">
        <is>
          <t>Coeficiente X1</t>
        </is>
      </c>
      <c r="C32" s="17" t="inlineStr">
        <is>
          <t>MPa</t>
        </is>
      </c>
      <c r="D32" s="38">
        <f>PI()/$D$20*SQRT($D$7*$D$8*$D$22*$D$17/2)</f>
        <v/>
      </c>
      <c r="K32" s="17" t="inlineStr">
        <is>
          <t>X1</t>
        </is>
      </c>
      <c r="L32" s="24" t="inlineStr">
        <is>
          <t>valor = PI()/Ss*SQRT(E*G*J*A/2)</t>
        </is>
      </c>
    </row>
    <row r="33">
      <c r="A33" s="17" t="n">
        <v>27</v>
      </c>
      <c r="B33" s="8" t="inlineStr">
        <is>
          <t>Coeficiente X2</t>
        </is>
      </c>
      <c r="C33" s="17" t="inlineStr">
        <is>
          <t>1/MPa²</t>
        </is>
      </c>
      <c r="D33" s="33">
        <f>4*$D$23/$D$19*($D$20/($D$8*$D$22))^2</f>
        <v/>
      </c>
      <c r="K33" s="17" t="inlineStr">
        <is>
          <t>X2</t>
        </is>
      </c>
      <c r="L33" s="24" t="inlineStr">
        <is>
          <t>valor = 4*Cw/Iw*(Ss/(G*J))^2</t>
        </is>
      </c>
    </row>
    <row r="34">
      <c r="A34" s="17" t="n">
        <v>28</v>
      </c>
      <c r="B34" s="8" t="inlineStr">
        <is>
          <t>Longitud límite inelástica Lr</t>
        </is>
      </c>
      <c r="C34" s="17" t="inlineStr">
        <is>
          <t>mm</t>
        </is>
      </c>
      <c r="D34" s="38">
        <f>$D$27*$D$32/$D$31*SQRT(1+SQRT(1+$D$33*$D$31^2))</f>
        <v/>
      </c>
      <c r="K34" s="17" t="inlineStr">
        <is>
          <t>Lr</t>
        </is>
      </c>
      <c r="L34" s="24" t="inlineStr">
        <is>
          <t>valor = rw*X1/FL*SQRT(1+SQRT(1+X2*FL^2))</t>
        </is>
      </c>
    </row>
    <row r="35">
      <c r="A35" s="17" t="n">
        <v>29</v>
      </c>
      <c r="B35" s="8" t="inlineStr">
        <is>
          <t>Momento Mr = FL·Ss</t>
        </is>
      </c>
      <c r="C35" s="17" t="inlineStr">
        <is>
          <t>N·mm</t>
        </is>
      </c>
      <c r="D35" s="27">
        <f>$D$31*$D$20</f>
        <v/>
      </c>
      <c r="K35" s="17" t="inlineStr">
        <is>
          <t>Mr</t>
        </is>
      </c>
      <c r="L35" s="24" t="inlineStr">
        <is>
          <t>valor = FL*Ss</t>
        </is>
      </c>
    </row>
    <row r="36">
      <c r="A36" s="17" t="n">
        <v>30</v>
      </c>
      <c r="B36" s="8" t="inlineStr">
        <is>
          <t>Longitud sin arriostrar</t>
        </is>
      </c>
      <c r="C36" s="17" t="inlineStr">
        <is>
          <t>mm</t>
        </is>
      </c>
      <c r="D36" s="23" t="n">
        <v>1200</v>
      </c>
      <c r="K36" s="17" t="inlineStr">
        <is>
          <t>Lb1</t>
        </is>
      </c>
      <c r="L36" s="24" t="inlineStr">
        <is>
          <t>dato ingresado</t>
        </is>
      </c>
    </row>
    <row r="37">
      <c r="A37" s="17" t="n">
        <v>31</v>
      </c>
      <c r="B37" s="8" t="inlineStr">
        <is>
          <t>Resistencia nominal Mn según el régimen</t>
        </is>
      </c>
      <c r="C37" s="17" t="inlineStr">
        <is>
          <t>N·mm</t>
        </is>
      </c>
      <c r="D37" s="27">
        <f>IF($D$36&lt;=$D$30,$D$29,IF($D$36&lt;=$D$34,MIN($D$29,$D$29-($D$29-$D$35)*($D$36-$D$30)/($D$34-$D$30)),MIN($D$29,PI()/$D$36*SQRT($D$7*$D$19*$D$8*$D$22+(PI()*$D$7/$D$36)^2*$D$19*$D$23))))</f>
        <v/>
      </c>
      <c r="K37" s="17" t="inlineStr">
        <is>
          <t>Mn1</t>
        </is>
      </c>
      <c r="L37" s="24" t="inlineStr">
        <is>
          <t>valor = IF(Lb1&lt;=Lp,Mp,IF(Lb1&lt;=Lr,MIN(Mp,Mp-(Mp-Mr)*(Lb1-Lp)/(Lr-Lp)),MIN(Mp,PI()/Lb1*SQRT(E*Iw*G*J+(PI()*E/Lb1)^2*Iw*Cw))))</t>
        </is>
      </c>
    </row>
    <row r="38">
      <c r="A38" s="17" t="n">
        <v>32</v>
      </c>
      <c r="B38" s="8" t="inlineStr">
        <is>
          <t>Resistencia de diseño φb·Mn</t>
        </is>
      </c>
      <c r="C38" s="17" t="inlineStr">
        <is>
          <t>kN·m</t>
        </is>
      </c>
      <c r="D38" s="26">
        <f>0.9*$D$37/1000000</f>
        <v/>
      </c>
      <c r="K38" s="17" t="inlineStr">
        <is>
          <t>phiMn1</t>
        </is>
      </c>
      <c r="L38" s="24" t="inlineStr">
        <is>
          <t>valor = 0.9*Mn1/1000000</t>
        </is>
      </c>
    </row>
    <row r="39">
      <c r="A39" s="17" t="n">
        <v>33</v>
      </c>
      <c r="B39" s="8" t="inlineStr">
        <is>
          <t>Longitud sin arriostrar</t>
        </is>
      </c>
      <c r="C39" s="17" t="inlineStr">
        <is>
          <t>mm</t>
        </is>
      </c>
      <c r="D39" s="23" t="n">
        <v>3500</v>
      </c>
      <c r="K39" s="17" t="inlineStr">
        <is>
          <t>Lb2</t>
        </is>
      </c>
      <c r="L39" s="24" t="inlineStr">
        <is>
          <t>dato ingresado</t>
        </is>
      </c>
    </row>
    <row r="40">
      <c r="A40" s="17" t="n">
        <v>34</v>
      </c>
      <c r="B40" s="8" t="inlineStr">
        <is>
          <t>Resistencia nominal Mn según el régimen</t>
        </is>
      </c>
      <c r="C40" s="17" t="inlineStr">
        <is>
          <t>N·mm</t>
        </is>
      </c>
      <c r="D40" s="27">
        <f>IF($D$39&lt;=$D$30,$D$29,IF($D$39&lt;=$D$34,MIN($D$29,$D$29-($D$29-$D$35)*($D$39-$D$30)/($D$34-$D$30)),MIN($D$29,PI()/$D$39*SQRT($D$7*$D$19*$D$8*$D$22+(PI()*$D$7/$D$39)^2*$D$19*$D$23))))</f>
        <v/>
      </c>
      <c r="K40" s="17" t="inlineStr">
        <is>
          <t>Mn2</t>
        </is>
      </c>
      <c r="L40" s="24" t="inlineStr">
        <is>
          <t>valor = IF(Lb2&lt;=Lp,Mp,IF(Lb2&lt;=Lr,MIN(Mp,Mp-(Mp-Mr)*(Lb2-Lp)/(Lr-Lp)),MIN(Mp,PI()/Lb2*SQRT(E*Iw*G*J+(PI()*E/Lb2)^2*Iw*Cw))))</t>
        </is>
      </c>
    </row>
    <row r="41">
      <c r="A41" s="17" t="n">
        <v>35</v>
      </c>
      <c r="B41" s="8" t="inlineStr">
        <is>
          <t>Resistencia de diseño φb·Mn</t>
        </is>
      </c>
      <c r="C41" s="17" t="inlineStr">
        <is>
          <t>kN·m</t>
        </is>
      </c>
      <c r="D41" s="26">
        <f>0.9*$D$40/1000000</f>
        <v/>
      </c>
      <c r="K41" s="17" t="inlineStr">
        <is>
          <t>phiMn2</t>
        </is>
      </c>
      <c r="L41" s="24" t="inlineStr">
        <is>
          <t>valor = 0.9*Mn2/1000000</t>
        </is>
      </c>
    </row>
    <row r="42">
      <c r="A42" s="17" t="n">
        <v>36</v>
      </c>
      <c r="B42" s="8" t="inlineStr">
        <is>
          <t>Longitud sin arriostrar</t>
        </is>
      </c>
      <c r="C42" s="17" t="inlineStr">
        <is>
          <t>mm</t>
        </is>
      </c>
      <c r="D42" s="23" t="n">
        <v>9000</v>
      </c>
      <c r="K42" s="17" t="inlineStr">
        <is>
          <t>Lb3</t>
        </is>
      </c>
      <c r="L42" s="24" t="inlineStr">
        <is>
          <t>dato ingresado</t>
        </is>
      </c>
    </row>
    <row r="43">
      <c r="A43" s="17" t="n">
        <v>37</v>
      </c>
      <c r="B43" s="8" t="inlineStr">
        <is>
          <t>Resistencia nominal Mn según el régimen</t>
        </is>
      </c>
      <c r="C43" s="17" t="inlineStr">
        <is>
          <t>N·mm</t>
        </is>
      </c>
      <c r="D43" s="27">
        <f>IF($D$42&lt;=$D$30,$D$29,IF($D$42&lt;=$D$34,MIN($D$29,$D$29-($D$29-$D$35)*($D$42-$D$30)/($D$34-$D$30)),MIN($D$29,PI()/$D$42*SQRT($D$7*$D$19*$D$8*$D$22+(PI()*$D$7/$D$42)^2*$D$19*$D$23))))</f>
        <v/>
      </c>
      <c r="K43" s="17" t="inlineStr">
        <is>
          <t>Mn3</t>
        </is>
      </c>
      <c r="L43" s="24" t="inlineStr">
        <is>
          <t>valor = IF(Lb3&lt;=Lp,Mp,IF(Lb3&lt;=Lr,MIN(Mp,Mp-(Mp-Mr)*(Lb3-Lp)/(Lr-Lp)),MIN(Mp,PI()/Lb3*SQRT(E*Iw*G*J+(PI()*E/Lb3)^2*Iw*Cw))))</t>
        </is>
      </c>
    </row>
    <row r="44">
      <c r="A44" s="17" t="n">
        <v>38</v>
      </c>
      <c r="B44" s="8" t="inlineStr">
        <is>
          <t>Resistencia de diseño φb·Mn</t>
        </is>
      </c>
      <c r="C44" s="17" t="inlineStr">
        <is>
          <t>kN·m</t>
        </is>
      </c>
      <c r="D44" s="26">
        <f>0.9*$D$43/1000000</f>
        <v/>
      </c>
      <c r="K44" s="17" t="inlineStr">
        <is>
          <t>phiMn3</t>
        </is>
      </c>
      <c r="L44" s="24" t="inlineStr">
        <is>
          <t>valor = 0.9*Mn3/1000000</t>
        </is>
      </c>
    </row>
    <row r="45">
      <c r="A45" s="17" t="n">
        <v>39</v>
      </c>
      <c r="B45" s="8" t="inlineStr">
        <is>
          <t>Resistencia de diseño de eje débil φb·Mw = 0,90·Fy·Zw</t>
        </is>
      </c>
      <c r="C45" s="17" t="inlineStr">
        <is>
          <t>kN·m</t>
        </is>
      </c>
      <c r="D45" s="26">
        <f>0.9*$D$9*$D$25/1000000</f>
        <v/>
      </c>
      <c r="K45" s="17" t="inlineStr">
        <is>
          <t>phiMw</t>
        </is>
      </c>
      <c r="L45" s="24" t="inlineStr">
        <is>
          <t>valor = 0.9*Fy*Zw/1000000</t>
        </is>
      </c>
    </row>
    <row r="46">
      <c r="A46" s="17" t="n">
        <v>40</v>
      </c>
      <c r="B46" s="8" t="inlineStr">
        <is>
          <t>Resistencia a corte φv·Vn</t>
        </is>
      </c>
      <c r="C46" s="17" t="inlineStr">
        <is>
          <t>kN</t>
        </is>
      </c>
      <c r="D46" s="26">
        <f>0.9*0.6*$D$9*$D$13*$D$15/1000</f>
        <v/>
      </c>
      <c r="K46" s="17" t="inlineStr">
        <is>
          <t>phiVs</t>
        </is>
      </c>
      <c r="L46" s="24" t="inlineStr">
        <is>
          <t>valor = 0.9*0.6*Fy*h*tw/1000</t>
        </is>
      </c>
    </row>
    <row r="47">
      <c r="A47" s="17" t="n">
        <v>41</v>
      </c>
      <c r="B47" s="8" t="inlineStr">
        <is>
          <t>Relación de uso viga 1 (corte gobierna)</t>
        </is>
      </c>
      <c r="C47" s="17" t="inlineStr"/>
      <c r="D47" s="36">
        <f>MAX($D$10*$D$36^2/8/1000000/$D$38,$D$10*$D$36/2/1000/$D$46)</f>
        <v/>
      </c>
      <c r="K47" s="17" t="inlineStr">
        <is>
          <t>u1</t>
        </is>
      </c>
      <c r="L47" s="24" t="inlineStr">
        <is>
          <t>valor = MAX(q1*Lb1^2/8/1000000/phiMn1,q1*Lb1/2/1000/phiVs)</t>
        </is>
      </c>
    </row>
    <row r="48">
      <c r="A48" s="17" t="n">
        <v>42</v>
      </c>
      <c r="B48" s="8" t="inlineStr">
        <is>
          <t>Relación de uso viga 2</t>
        </is>
      </c>
      <c r="C48" s="17" t="inlineStr"/>
      <c r="D48" s="36">
        <f>MAX($D$11*$D$39^2/8/1000000/$D$41,$D$11*$D$39/2/1000/$D$46)</f>
        <v/>
      </c>
      <c r="K48" s="17" t="inlineStr">
        <is>
          <t>u2</t>
        </is>
      </c>
      <c r="L48" s="24" t="inlineStr">
        <is>
          <t>valor = MAX(q2*Lb2^2/8/1000000/phiMn2,q2*Lb2/2/1000/phiVs)</t>
        </is>
      </c>
    </row>
    <row r="49">
      <c r="A49" s="17" t="n">
        <v>43</v>
      </c>
      <c r="B49" s="8" t="inlineStr">
        <is>
          <t>Relación de uso viga 3</t>
        </is>
      </c>
      <c r="C49" s="17" t="inlineStr"/>
      <c r="D49" s="36">
        <f>MAX($D$12*$D$42^2/8/1000000/$D$44,$D$12*$D$42/2/1000/$D$46)</f>
        <v/>
      </c>
      <c r="K49" s="17" t="inlineStr">
        <is>
          <t>u3</t>
        </is>
      </c>
      <c r="L49" s="24" t="inlineStr">
        <is>
          <t>valor = MAX(q3*Lb3^2/8/1000000/phiMn3,q3*Lb3/2/1000/phiVs)</t>
        </is>
      </c>
    </row>
    <row r="51">
      <c r="A51" s="22" t="inlineStr">
        <is>
          <t>COMPARACIÓN: TEORÍA / DATO PUBLICADO  vs  PROGRAMA (Atlas Estructuras 3D)</t>
        </is>
      </c>
      <c r="B51" s="22" t="n"/>
      <c r="C51" s="22" t="n"/>
      <c r="D51" s="22" t="n"/>
      <c r="E51" s="22" t="n"/>
      <c r="F51" s="22" t="n"/>
      <c r="G51" s="22" t="n"/>
      <c r="H51" s="22" t="n"/>
      <c r="I51" s="22" t="n"/>
      <c r="J51" s="22" t="n"/>
      <c r="K51" s="22" t="n"/>
      <c r="L51" s="22" t="n"/>
      <c r="M51" s="22" t="n"/>
      <c r="N51" s="22" t="n"/>
    </row>
    <row r="52" ht="30" customHeight="1">
      <c r="A52" s="5" t="inlineStr">
        <is>
          <t>#</t>
        </is>
      </c>
      <c r="B52" s="5" t="inlineStr">
        <is>
          <t>Comprobación</t>
        </is>
      </c>
      <c r="C52" s="5" t="inlineStr">
        <is>
          <t>Unidad</t>
        </is>
      </c>
      <c r="D52" s="5" t="inlineStr">
        <is>
          <t>Teoría / publicado</t>
        </is>
      </c>
      <c r="E52" s="5" t="inlineStr">
        <is>
          <t>Programa</t>
        </is>
      </c>
      <c r="F52" s="5" t="inlineStr">
        <is>
          <t>Diferencia (prog. − teoría)</t>
        </is>
      </c>
      <c r="G52" s="5" t="inlineStr">
        <is>
          <t>Error relativo</t>
        </is>
      </c>
      <c r="H52" s="5" t="inlineStr">
        <is>
          <t>Tol. relativa</t>
        </is>
      </c>
      <c r="I52" s="5" t="inlineStr">
        <is>
          <t>Tol. absoluta</t>
        </is>
      </c>
      <c r="J52" s="5" t="inlineStr">
        <is>
          <t>Estado</t>
        </is>
      </c>
      <c r="K52" s="5" t="inlineStr">
        <is>
          <t>Origen</t>
        </is>
      </c>
      <c r="L52" s="5" t="inlineStr">
        <is>
          <t>Expresión de la teoría (texto)</t>
        </is>
      </c>
      <c r="M52" s="5" t="inlineStr">
        <is>
          <t>Dónde se lee en el programa</t>
        </is>
      </c>
      <c r="N52" s="5" t="inlineStr">
        <is>
          <t>Nota</t>
        </is>
      </c>
    </row>
    <row r="53" ht="16" customHeight="1">
      <c r="A53" s="17" t="n">
        <v>1</v>
      </c>
      <c r="B53" s="8" t="inlineStr">
        <is>
          <t>Longitud límite plástica Lp</t>
        </is>
      </c>
      <c r="C53" s="17" t="inlineStr">
        <is>
          <t>m</t>
        </is>
      </c>
      <c r="D53" s="26">
        <f>$D$30/1000</f>
        <v/>
      </c>
      <c r="E53" s="25" t="n">
        <v>1.720366852015271</v>
      </c>
      <c r="F53" s="27">
        <f>E53-D53</f>
        <v/>
      </c>
      <c r="G53" s="28">
        <f>IF(ABS(D53)&gt;0.000000000001,F53/D53,"—")</f>
        <v/>
      </c>
      <c r="H53" s="29" t="n">
        <v>0.0001</v>
      </c>
      <c r="I53" s="30" t="n">
        <v>1e-06</v>
      </c>
      <c r="J53" s="31">
        <f>IF(ABS(F53)&lt;=MAX(H53*ABS(D53),I53),"OK","NO")</f>
        <v/>
      </c>
      <c r="K53" s="17" t="inlineStr">
        <is>
          <t>Fórmula</t>
        </is>
      </c>
      <c r="L53" s="9" t="inlineStr">
        <is>
          <t>Lp/1000</t>
        </is>
      </c>
      <c r="M53" s="9" t="inlineStr">
        <is>
          <t>Barra 1: longitud Lp (verificación de perfiles)</t>
        </is>
      </c>
      <c r="N53" s="9" t="inlineStr"/>
    </row>
    <row r="54" ht="16" customHeight="1">
      <c r="A54" s="17" t="n">
        <v>2</v>
      </c>
      <c r="B54" s="8" t="inlineStr">
        <is>
          <t>Longitud límite inelástica Lr</t>
        </is>
      </c>
      <c r="C54" s="17" t="inlineStr">
        <is>
          <t>m</t>
        </is>
      </c>
      <c r="D54" s="26">
        <f>$D$34/1000</f>
        <v/>
      </c>
      <c r="E54" s="25" t="n">
        <v>5.701001403810027</v>
      </c>
      <c r="F54" s="27">
        <f>E54-D54</f>
        <v/>
      </c>
      <c r="G54" s="28">
        <f>IF(ABS(D54)&gt;0.000000000001,F54/D54,"—")</f>
        <v/>
      </c>
      <c r="H54" s="29" t="n">
        <v>0.0001</v>
      </c>
      <c r="I54" s="30" t="n">
        <v>1e-06</v>
      </c>
      <c r="J54" s="31">
        <f>IF(ABS(F54)&lt;=MAX(H54*ABS(D54),I54),"OK","NO")</f>
        <v/>
      </c>
      <c r="K54" s="17" t="inlineStr">
        <is>
          <t>Fórmula</t>
        </is>
      </c>
      <c r="L54" s="9" t="inlineStr">
        <is>
          <t>Lr/1000</t>
        </is>
      </c>
      <c r="M54" s="9" t="inlineStr">
        <is>
          <t>Barra 1: longitud Lr (verificación de perfiles)</t>
        </is>
      </c>
      <c r="N54" s="9" t="inlineStr"/>
    </row>
    <row r="55" ht="16" customHeight="1">
      <c r="A55" s="17" t="n">
        <v>3</v>
      </c>
      <c r="B55" s="8" t="inlineStr">
        <is>
          <t>Viga 1 (Lb ≤ Lp): φb·Mn = φb·Mp</t>
        </is>
      </c>
      <c r="C55" s="17" t="inlineStr">
        <is>
          <t>kN·m</t>
        </is>
      </c>
      <c r="D55" s="26">
        <f>$D$38</f>
        <v/>
      </c>
      <c r="E55" s="25" t="n">
        <v>127.3438071585</v>
      </c>
      <c r="F55" s="27">
        <f>E55-D55</f>
        <v/>
      </c>
      <c r="G55" s="28">
        <f>IF(ABS(D55)&gt;0.000000000001,F55/D55,"—")</f>
        <v/>
      </c>
      <c r="H55" s="29" t="n">
        <v>0.0001</v>
      </c>
      <c r="I55" s="30" t="n">
        <v>1e-06</v>
      </c>
      <c r="J55" s="31">
        <f>IF(ABS(F55)&lt;=MAX(H55*ABS(D55),I55),"OK","NO")</f>
        <v/>
      </c>
      <c r="K55" s="17" t="inlineStr">
        <is>
          <t>Fórmula</t>
        </is>
      </c>
      <c r="L55" s="9" t="inlineStr">
        <is>
          <t>phiMn1</t>
        </is>
      </c>
      <c r="M55" s="9" t="inlineStr">
        <is>
          <t>Barra 1: φb·Mn flexión eje fuerte (verificación de perfiles)</t>
        </is>
      </c>
      <c r="N55" s="9" t="inlineStr"/>
    </row>
    <row r="56" ht="16" customHeight="1">
      <c r="A56" s="17" t="n">
        <v>4</v>
      </c>
      <c r="B56" s="8" t="inlineStr">
        <is>
          <t>Viga 2 (Lp &lt; Lb ≤ Lr): φb·Mn inelástico</t>
        </is>
      </c>
      <c r="C56" s="17" t="inlineStr">
        <is>
          <t>kN·m</t>
        </is>
      </c>
      <c r="D56" s="26">
        <f>$D$41</f>
        <v/>
      </c>
      <c r="E56" s="25" t="n">
        <v>107.6153786197972</v>
      </c>
      <c r="F56" s="27">
        <f>E56-D56</f>
        <v/>
      </c>
      <c r="G56" s="28">
        <f>IF(ABS(D56)&gt;0.000000000001,F56/D56,"—")</f>
        <v/>
      </c>
      <c r="H56" s="29" t="n">
        <v>0.0001</v>
      </c>
      <c r="I56" s="30" t="n">
        <v>1e-06</v>
      </c>
      <c r="J56" s="31">
        <f>IF(ABS(F56)&lt;=MAX(H56*ABS(D56),I56),"OK","NO")</f>
        <v/>
      </c>
      <c r="K56" s="17" t="inlineStr">
        <is>
          <t>Fórmula</t>
        </is>
      </c>
      <c r="L56" s="9" t="inlineStr">
        <is>
          <t>phiMn2</t>
        </is>
      </c>
      <c r="M56" s="9" t="inlineStr">
        <is>
          <t>Barra 2: φb·Mn flexión eje fuerte (verificación de perfiles)</t>
        </is>
      </c>
      <c r="N56" s="9" t="inlineStr"/>
    </row>
    <row r="57" ht="16" customHeight="1">
      <c r="A57" s="17" t="n">
        <v>5</v>
      </c>
      <c r="B57" s="8" t="inlineStr">
        <is>
          <t>Viga 3 (Lb &gt; Lr): φb·Mn elástico</t>
        </is>
      </c>
      <c r="C57" s="17" t="inlineStr">
        <is>
          <t>kN·m</t>
        </is>
      </c>
      <c r="D57" s="26">
        <f>$D$44</f>
        <v/>
      </c>
      <c r="E57" s="25" t="n">
        <v>47.23033613179186</v>
      </c>
      <c r="F57" s="27">
        <f>E57-D57</f>
        <v/>
      </c>
      <c r="G57" s="28">
        <f>IF(ABS(D57)&gt;0.000000000001,F57/D57,"—")</f>
        <v/>
      </c>
      <c r="H57" s="29" t="n">
        <v>0.0001</v>
      </c>
      <c r="I57" s="30" t="n">
        <v>1e-06</v>
      </c>
      <c r="J57" s="31">
        <f>IF(ABS(F57)&lt;=MAX(H57*ABS(D57),I57),"OK","NO")</f>
        <v/>
      </c>
      <c r="K57" s="17" t="inlineStr">
        <is>
          <t>Fórmula</t>
        </is>
      </c>
      <c r="L57" s="9" t="inlineStr">
        <is>
          <t>phiMn3</t>
        </is>
      </c>
      <c r="M57" s="9" t="inlineStr">
        <is>
          <t>Barra 3: φb·Mn flexión eje fuerte (verificación de perfiles)</t>
        </is>
      </c>
      <c r="N57" s="9" t="inlineStr"/>
    </row>
    <row r="58" ht="16" customHeight="1">
      <c r="A58" s="17" t="n">
        <v>6</v>
      </c>
      <c r="B58" s="8" t="inlineStr">
        <is>
          <t>Momento resistente de eje débil φb·Mw</t>
        </is>
      </c>
      <c r="C58" s="17" t="inlineStr">
        <is>
          <t>kN·m</t>
        </is>
      </c>
      <c r="D58" s="26">
        <f>$D$45</f>
        <v/>
      </c>
      <c r="E58" s="25" t="n">
        <v>25.538625</v>
      </c>
      <c r="F58" s="27">
        <f>E58-D58</f>
        <v/>
      </c>
      <c r="G58" s="28">
        <f>IF(ABS(D58)&gt;0.000000000001,F58/D58,"—")</f>
        <v/>
      </c>
      <c r="H58" s="29" t="n">
        <v>0.0001</v>
      </c>
      <c r="I58" s="30" t="n">
        <v>1e-06</v>
      </c>
      <c r="J58" s="31">
        <f>IF(ABS(F58)&lt;=MAX(H58*ABS(D58),I58),"OK","NO")</f>
        <v/>
      </c>
      <c r="K58" s="17" t="inlineStr">
        <is>
          <t>Fórmula</t>
        </is>
      </c>
      <c r="L58" s="9" t="inlineStr">
        <is>
          <t>phiMw</t>
        </is>
      </c>
      <c r="M58" s="9" t="inlineStr">
        <is>
          <t>Barra 1: φb·Mn flexión eje débil (verificación de perfiles)</t>
        </is>
      </c>
      <c r="N58" s="9" t="inlineStr"/>
    </row>
    <row r="59" ht="16" customHeight="1">
      <c r="A59" s="17" t="n">
        <v>7</v>
      </c>
      <c r="B59" s="8" t="inlineStr">
        <is>
          <t>Resistencia a corte φv·Vn</t>
        </is>
      </c>
      <c r="C59" s="17" t="inlineStr">
        <is>
          <t>kN</t>
        </is>
      </c>
      <c r="D59" s="26">
        <f>$D$46</f>
        <v/>
      </c>
      <c r="E59" s="25" t="n">
        <v>270.297</v>
      </c>
      <c r="F59" s="27">
        <f>E59-D59</f>
        <v/>
      </c>
      <c r="G59" s="28">
        <f>IF(ABS(D59)&gt;0.000000000001,F59/D59,"—")</f>
        <v/>
      </c>
      <c r="H59" s="29" t="n">
        <v>0.0001</v>
      </c>
      <c r="I59" s="30" t="n">
        <v>1e-06</v>
      </c>
      <c r="J59" s="31">
        <f>IF(ABS(F59)&lt;=MAX(H59*ABS(D59),I59),"OK","NO")</f>
        <v/>
      </c>
      <c r="K59" s="17" t="inlineStr">
        <is>
          <t>Fórmula</t>
        </is>
      </c>
      <c r="L59" s="9" t="inlineStr">
        <is>
          <t>phiVs</t>
        </is>
      </c>
      <c r="M59" s="9" t="inlineStr">
        <is>
          <t>Barra 1: φv·Vn corte eje fuerte (verificación de perfiles)</t>
        </is>
      </c>
      <c r="N59" s="9" t="inlineStr"/>
    </row>
    <row r="60" ht="28" customHeight="1">
      <c r="A60" s="17" t="n">
        <v>8</v>
      </c>
      <c r="B60" s="8" t="inlineStr">
        <is>
          <t>Viga 1: relación de uso</t>
        </is>
      </c>
      <c r="C60" s="17" t="inlineStr"/>
      <c r="D60" s="36">
        <f>$D$47</f>
        <v/>
      </c>
      <c r="E60" s="37" t="n">
        <v>0.6659341391136417</v>
      </c>
      <c r="F60" s="27">
        <f>E60-D60</f>
        <v/>
      </c>
      <c r="G60" s="28">
        <f>IF(ABS(D60)&gt;0.000000000001,F60/D60,"—")</f>
        <v/>
      </c>
      <c r="H60" s="29" t="n">
        <v>0.0001</v>
      </c>
      <c r="I60" s="30" t="n">
        <v>1e-06</v>
      </c>
      <c r="J60" s="31">
        <f>IF(ABS(F60)&lt;=MAX(H60*ABS(D60),I60),"OK","NO")</f>
        <v/>
      </c>
      <c r="K60" s="17" t="inlineStr">
        <is>
          <t>Fórmula</t>
        </is>
      </c>
      <c r="L60" s="9" t="inlineStr">
        <is>
          <t>u1</t>
        </is>
      </c>
      <c r="M60" s="9" t="inlineStr">
        <is>
          <t>Barra 1: relación de uso r máxima entre combinaciones de resistencia</t>
        </is>
      </c>
      <c r="N60" s="9" t="inlineStr"/>
    </row>
    <row r="61" ht="28" customHeight="1">
      <c r="A61" s="17" t="n">
        <v>9</v>
      </c>
      <c r="B61" s="8" t="inlineStr">
        <is>
          <t>Viga 2: relación de uso</t>
        </is>
      </c>
      <c r="C61" s="17" t="inlineStr"/>
      <c r="D61" s="36">
        <f>$D$48</f>
        <v/>
      </c>
      <c r="E61" s="37" t="n">
        <v>0.7114457150696721</v>
      </c>
      <c r="F61" s="27">
        <f>E61-D61</f>
        <v/>
      </c>
      <c r="G61" s="28">
        <f>IF(ABS(D61)&gt;0.000000000001,F61/D61,"—")</f>
        <v/>
      </c>
      <c r="H61" s="29" t="n">
        <v>0.0001</v>
      </c>
      <c r="I61" s="30" t="n">
        <v>1e-06</v>
      </c>
      <c r="J61" s="31">
        <f>IF(ABS(F61)&lt;=MAX(H61*ABS(D61),I61),"OK","NO")</f>
        <v/>
      </c>
      <c r="K61" s="17" t="inlineStr">
        <is>
          <t>Fórmula</t>
        </is>
      </c>
      <c r="L61" s="9" t="inlineStr">
        <is>
          <t>u2</t>
        </is>
      </c>
      <c r="M61" s="9" t="inlineStr">
        <is>
          <t>Barra 2: relación de uso r máxima entre combinaciones de resistencia</t>
        </is>
      </c>
      <c r="N61" s="9" t="inlineStr"/>
    </row>
    <row r="62" ht="28" customHeight="1">
      <c r="A62" s="17" t="n">
        <v>10</v>
      </c>
      <c r="B62" s="8" t="inlineStr">
        <is>
          <t>Viga 3: relación de uso</t>
        </is>
      </c>
      <c r="C62" s="17" t="inlineStr"/>
      <c r="D62" s="36">
        <f>$D$49</f>
        <v/>
      </c>
      <c r="E62" s="37" t="n">
        <v>0.857499719665731</v>
      </c>
      <c r="F62" s="27">
        <f>E62-D62</f>
        <v/>
      </c>
      <c r="G62" s="28">
        <f>IF(ABS(D62)&gt;0.000000000001,F62/D62,"—")</f>
        <v/>
      </c>
      <c r="H62" s="29" t="n">
        <v>0.0001</v>
      </c>
      <c r="I62" s="30" t="n">
        <v>1e-06</v>
      </c>
      <c r="J62" s="31">
        <f>IF(ABS(F62)&lt;=MAX(H62*ABS(D62),I62),"OK","NO")</f>
        <v/>
      </c>
      <c r="K62" s="17" t="inlineStr">
        <is>
          <t>Fórmula</t>
        </is>
      </c>
      <c r="L62" s="9" t="inlineStr">
        <is>
          <t>u3</t>
        </is>
      </c>
      <c r="M62" s="9" t="inlineStr">
        <is>
          <t>Barra 3: relación de uso r máxima entre combinaciones de resistencia</t>
        </is>
      </c>
      <c r="N62" s="9" t="inlineStr"/>
    </row>
    <row r="64">
      <c r="B64" s="4" t="inlineStr">
        <is>
          <t>Comprobaciones dentro de tolerancia</t>
        </is>
      </c>
      <c r="D64" s="4">
        <f>COUNTIF(J53:J62,"OK")</f>
        <v/>
      </c>
      <c r="E64" s="4">
        <f>ROWS(J53:J62)</f>
        <v/>
      </c>
      <c r="F64" s="4">
        <f>IF(D64=E64,"VERIFICA","DIFIERE")</f>
        <v/>
      </c>
    </row>
    <row r="65">
      <c r="B65" s="2" t="inlineStr">
        <is>
          <t>Azul = dato ingresado o valor que entregó el programa (pegado); negro = fórmula de Excel. El valor «Programa» es el resultado del motor de cálculo de la app para el mismo modelo.</t>
        </is>
      </c>
    </row>
  </sheetData>
  <mergeCells count="1">
    <mergeCell ref="A3:L3"/>
  </mergeCells>
  <conditionalFormatting sqref="J53:J62">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44.xml><?xml version="1.0" encoding="utf-8"?>
<worksheet xmlns="http://schemas.openxmlformats.org/spreadsheetml/2006/main">
  <sheetPr>
    <outlinePr summaryBelow="1" summaryRight="1"/>
    <pageSetUpPr fitToPage="1"/>
  </sheetPr>
  <dimension ref="A1:N71"/>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F03 · Flexocompresión biaxial: ecuaciones de interacción H1-1a y H1-1b</t>
        </is>
      </c>
    </row>
    <row r="2">
      <c r="A2" s="2" t="inlineStr">
        <is>
          <t>Fórmulas del Reglamento.  Fuente: Fórmulas del Reglamento CIRSOC 301-2005 (capítulos D, E, F, H) recalculadas aparte; no provienen de un ejemplo publicado</t>
        </is>
      </c>
    </row>
    <row r="3" ht="54" customHeight="1">
      <c r="A3" s="14" t="inlineStr">
        <is>
          <t>Enunciado. Dos barras IPE 200 de 4,00 m biapoyadas, con carga transversal vertical de 3 kN/m (eje fuerte) y horizontal de 0,4 kN/m (eje débil), K = 1 y Lb = 4,00 m. Barra A con compresión Pu = 80 kN (Pu/φc·Pn ≥ 0,2: ecuación H1-1a) y barra B con Pu = 15 kN (&lt; 0,2: ecuación H1-1b). Interacción: Pu/φcPn + 8/9·(Mus/φbMs + Muw/φbMw) ≤ 1 si Pu/φcPn ≥ 0,2; Pu/(2φcPn) + (Mus/φbMs + Muw/φbMw) ≤ 1 en caso contrario. Análisis de primer orden (el programa no amplifica por P-δ, y aquí tampoco se amplifica). Recálculo independiente de las fórmulas del Reglamento.</t>
        </is>
      </c>
    </row>
    <row r="5">
      <c r="A5" s="22" t="inlineStr">
        <is>
          <t>DATOS DEL EJERCICIO</t>
        </is>
      </c>
      <c r="B5" s="22" t="n"/>
      <c r="C5" s="22" t="n"/>
      <c r="D5" s="22" t="n"/>
      <c r="E5" s="22" t="n"/>
      <c r="F5" s="22" t="n"/>
      <c r="G5" s="22" t="n"/>
      <c r="H5" s="22" t="n"/>
      <c r="I5" s="22" t="n"/>
      <c r="J5" s="22" t="n"/>
      <c r="K5" s="22" t="n"/>
      <c r="L5" s="22" t="n"/>
      <c r="M5" s="22" t="n"/>
      <c r="N5" s="22" t="n"/>
    </row>
    <row r="6">
      <c r="A6" s="5" t="inlineStr">
        <is>
          <t>#</t>
        </is>
      </c>
      <c r="B6" s="5" t="inlineStr">
        <is>
          <t>Dato</t>
        </is>
      </c>
      <c r="C6" s="5" t="inlineStr">
        <is>
          <t>Unidad</t>
        </is>
      </c>
      <c r="D6" s="5" t="inlineStr">
        <is>
          <t>Valor</t>
        </is>
      </c>
      <c r="K6" s="5" t="inlineStr">
        <is>
          <t>Símbolo</t>
        </is>
      </c>
      <c r="L6" s="5" t="inlineStr">
        <is>
          <t>Fórmula (texto)</t>
        </is>
      </c>
    </row>
    <row r="7">
      <c r="A7" s="17" t="n">
        <v>1</v>
      </c>
      <c r="B7" s="8" t="inlineStr">
        <is>
          <t>Módulo elástico</t>
        </is>
      </c>
      <c r="C7" s="17" t="inlineStr">
        <is>
          <t>MPa</t>
        </is>
      </c>
      <c r="D7" s="23" t="n">
        <v>200000</v>
      </c>
      <c r="K7" s="17" t="inlineStr">
        <is>
          <t>E</t>
        </is>
      </c>
      <c r="L7" s="24" t="inlineStr">
        <is>
          <t>dato ingresado</t>
        </is>
      </c>
    </row>
    <row r="8">
      <c r="A8" s="17" t="n">
        <v>2</v>
      </c>
      <c r="B8" s="8" t="inlineStr">
        <is>
          <t>Módulo de corte</t>
        </is>
      </c>
      <c r="C8" s="17" t="inlineStr">
        <is>
          <t>MPa</t>
        </is>
      </c>
      <c r="D8" s="23" t="n">
        <v>77200</v>
      </c>
      <c r="K8" s="17" t="inlineStr">
        <is>
          <t>G</t>
        </is>
      </c>
      <c r="L8" s="24" t="inlineStr">
        <is>
          <t>dato ingresado</t>
        </is>
      </c>
    </row>
    <row r="9">
      <c r="A9" s="17" t="n">
        <v>3</v>
      </c>
      <c r="B9" s="8" t="inlineStr">
        <is>
          <t>Tensión de fluencia F-24</t>
        </is>
      </c>
      <c r="C9" s="17" t="inlineStr">
        <is>
          <t>MPa</t>
        </is>
      </c>
      <c r="D9" s="25" t="n">
        <v>235</v>
      </c>
      <c r="K9" s="17" t="inlineStr">
        <is>
          <t>Fy</t>
        </is>
      </c>
      <c r="L9" s="24" t="inlineStr">
        <is>
          <t>dato ingresado</t>
        </is>
      </c>
    </row>
    <row r="10">
      <c r="A10" s="17" t="n">
        <v>4</v>
      </c>
      <c r="B10" s="8" t="inlineStr">
        <is>
          <t>Luz, KL y Lb</t>
        </is>
      </c>
      <c r="C10" s="17" t="inlineStr">
        <is>
          <t>mm</t>
        </is>
      </c>
      <c r="D10" s="23" t="n">
        <v>4000</v>
      </c>
      <c r="K10" s="17" t="inlineStr">
        <is>
          <t>L</t>
        </is>
      </c>
      <c r="L10" s="24" t="inlineStr">
        <is>
          <t>dato ingresado</t>
        </is>
      </c>
    </row>
    <row r="11">
      <c r="A11" s="17" t="n">
        <v>5</v>
      </c>
      <c r="B11" s="8" t="inlineStr">
        <is>
          <t>Carga vertical (eje fuerte)</t>
        </is>
      </c>
      <c r="C11" s="17" t="inlineStr">
        <is>
          <t>kN/m</t>
        </is>
      </c>
      <c r="D11" s="25" t="n">
        <v>3</v>
      </c>
      <c r="K11" s="17" t="inlineStr">
        <is>
          <t>q</t>
        </is>
      </c>
      <c r="L11" s="24" t="inlineStr">
        <is>
          <t>dato ingresado</t>
        </is>
      </c>
    </row>
    <row r="12">
      <c r="A12" s="17" t="n">
        <v>6</v>
      </c>
      <c r="B12" s="8" t="inlineStr">
        <is>
          <t>Carga horizontal (eje débil)</t>
        </is>
      </c>
      <c r="C12" s="17" t="inlineStr">
        <is>
          <t>kN/m</t>
        </is>
      </c>
      <c r="D12" s="37" t="n">
        <v>0.4</v>
      </c>
      <c r="K12" s="17" t="inlineStr">
        <is>
          <t>qy</t>
        </is>
      </c>
      <c r="L12" s="24" t="inlineStr">
        <is>
          <t>dato ingresado</t>
        </is>
      </c>
    </row>
    <row r="13">
      <c r="A13" s="17" t="n">
        <v>7</v>
      </c>
      <c r="B13" s="8" t="inlineStr">
        <is>
          <t>Compresión barra A</t>
        </is>
      </c>
      <c r="C13" s="17" t="inlineStr">
        <is>
          <t>kN</t>
        </is>
      </c>
      <c r="D13" s="25" t="n">
        <v>80</v>
      </c>
      <c r="K13" s="17" t="inlineStr">
        <is>
          <t>PuA</t>
        </is>
      </c>
      <c r="L13" s="24" t="inlineStr">
        <is>
          <t>dato ingresado</t>
        </is>
      </c>
    </row>
    <row r="14">
      <c r="A14" s="17" t="n">
        <v>8</v>
      </c>
      <c r="B14" s="8" t="inlineStr">
        <is>
          <t>Compresión barra B</t>
        </is>
      </c>
      <c r="C14" s="17" t="inlineStr">
        <is>
          <t>kN</t>
        </is>
      </c>
      <c r="D14" s="25" t="n">
        <v>15</v>
      </c>
      <c r="K14" s="17" t="inlineStr">
        <is>
          <t>PuB</t>
        </is>
      </c>
      <c r="L14" s="24" t="inlineStr">
        <is>
          <t>dato ingresado</t>
        </is>
      </c>
    </row>
    <row r="15">
      <c r="A15" s="17" t="n">
        <v>9</v>
      </c>
      <c r="B15" s="8" t="inlineStr">
        <is>
          <t>IPE 200: altura</t>
        </is>
      </c>
      <c r="C15" s="17" t="inlineStr">
        <is>
          <t>mm</t>
        </is>
      </c>
      <c r="D15" s="25" t="n">
        <v>200</v>
      </c>
      <c r="K15" s="17" t="inlineStr">
        <is>
          <t>h</t>
        </is>
      </c>
      <c r="L15" s="24" t="inlineStr">
        <is>
          <t>dato ingresado</t>
        </is>
      </c>
    </row>
    <row r="16">
      <c r="A16" s="17" t="n">
        <v>10</v>
      </c>
      <c r="B16" s="8" t="inlineStr">
        <is>
          <t>Ancho de ala</t>
        </is>
      </c>
      <c r="C16" s="17" t="inlineStr">
        <is>
          <t>mm</t>
        </is>
      </c>
      <c r="D16" s="25" t="n">
        <v>100</v>
      </c>
      <c r="K16" s="17" t="inlineStr">
        <is>
          <t>b</t>
        </is>
      </c>
      <c r="L16" s="24" t="inlineStr">
        <is>
          <t>dato ingresado</t>
        </is>
      </c>
    </row>
    <row r="17">
      <c r="A17" s="17" t="n">
        <v>11</v>
      </c>
      <c r="B17" s="8" t="inlineStr">
        <is>
          <t>Espesor de alma</t>
        </is>
      </c>
      <c r="C17" s="17" t="inlineStr">
        <is>
          <t>mm</t>
        </is>
      </c>
      <c r="D17" s="25" t="n">
        <v>5.6</v>
      </c>
      <c r="K17" s="17" t="inlineStr">
        <is>
          <t>tw</t>
        </is>
      </c>
      <c r="L17" s="24" t="inlineStr">
        <is>
          <t>dato ingresado</t>
        </is>
      </c>
    </row>
    <row r="18">
      <c r="A18" s="17" t="n">
        <v>12</v>
      </c>
      <c r="B18" s="8" t="inlineStr">
        <is>
          <t>Espesor de ala</t>
        </is>
      </c>
      <c r="C18" s="17" t="inlineStr">
        <is>
          <t>mm</t>
        </is>
      </c>
      <c r="D18" s="25" t="n">
        <v>8.5</v>
      </c>
      <c r="K18" s="17" t="inlineStr">
        <is>
          <t>tf</t>
        </is>
      </c>
      <c r="L18" s="24" t="inlineStr">
        <is>
          <t>dato ingresado</t>
        </is>
      </c>
    </row>
    <row r="19">
      <c r="A19" s="17" t="n">
        <v>13</v>
      </c>
      <c r="B19" s="8" t="inlineStr">
        <is>
          <t>Área</t>
        </is>
      </c>
      <c r="C19" s="17" t="inlineStr">
        <is>
          <t>mm²</t>
        </is>
      </c>
      <c r="D19" s="23" t="n">
        <v>2850</v>
      </c>
      <c r="K19" s="17" t="inlineStr">
        <is>
          <t>A</t>
        </is>
      </c>
      <c r="L19" s="24" t="inlineStr">
        <is>
          <t>dato ingresado</t>
        </is>
      </c>
    </row>
    <row r="20">
      <c r="A20" s="17" t="n">
        <v>14</v>
      </c>
      <c r="B20" s="8" t="inlineStr">
        <is>
          <t>Inercia, eje fuerte (tabla)</t>
        </is>
      </c>
      <c r="C20" s="17" t="inlineStr">
        <is>
          <t>mm⁴</t>
        </is>
      </c>
      <c r="D20" s="35" t="n">
        <v>19430000</v>
      </c>
      <c r="K20" s="17" t="inlineStr">
        <is>
          <t>Is</t>
        </is>
      </c>
      <c r="L20" s="24" t="inlineStr">
        <is>
          <t>dato ingresado</t>
        </is>
      </c>
    </row>
    <row r="21">
      <c r="A21" s="17" t="n">
        <v>15</v>
      </c>
      <c r="B21" s="8" t="inlineStr">
        <is>
          <t>Inercia, eje débil (tabla)</t>
        </is>
      </c>
      <c r="C21" s="17" t="inlineStr">
        <is>
          <t>mm⁴</t>
        </is>
      </c>
      <c r="D21" s="23" t="n">
        <v>1420000</v>
      </c>
      <c r="K21" s="17" t="inlineStr">
        <is>
          <t>Iw</t>
        </is>
      </c>
      <c r="L21" s="24" t="inlineStr">
        <is>
          <t>dato ingresado</t>
        </is>
      </c>
    </row>
    <row r="22">
      <c r="A22" s="17" t="n">
        <v>16</v>
      </c>
      <c r="B22" s="8" t="inlineStr">
        <is>
          <t>Módulo resistente fuerte (tabla)</t>
        </is>
      </c>
      <c r="C22" s="17" t="inlineStr">
        <is>
          <t>mm³</t>
        </is>
      </c>
      <c r="D22" s="23" t="n">
        <v>194000</v>
      </c>
      <c r="K22" s="17" t="inlineStr">
        <is>
          <t>Ss</t>
        </is>
      </c>
      <c r="L22" s="24" t="inlineStr">
        <is>
          <t>dato ingresado</t>
        </is>
      </c>
    </row>
    <row r="23">
      <c r="A23" s="17" t="n">
        <v>17</v>
      </c>
      <c r="B23" s="8" t="inlineStr">
        <is>
          <t>Módulo resistente débil (tabla)</t>
        </is>
      </c>
      <c r="C23" s="17" t="inlineStr">
        <is>
          <t>mm³</t>
        </is>
      </c>
      <c r="D23" s="23" t="n">
        <v>28500</v>
      </c>
      <c r="K23" s="17" t="inlineStr">
        <is>
          <t>Sw</t>
        </is>
      </c>
      <c r="L23" s="24" t="inlineStr">
        <is>
          <t>dato ingresado</t>
        </is>
      </c>
    </row>
    <row r="24">
      <c r="A24" s="17" t="n">
        <v>18</v>
      </c>
      <c r="B24" s="8" t="inlineStr">
        <is>
          <t>Constante de torsión (aproximación del programa para perfiles I laminados)</t>
        </is>
      </c>
      <c r="C24" s="17" t="inlineStr">
        <is>
          <t>mm⁴</t>
        </is>
      </c>
      <c r="D24" s="38">
        <f>(2*$D$16*$D$18^3+($D$15-2*$D$18)*$D$17^3)/3*1.3</f>
        <v/>
      </c>
      <c r="K24" s="17" t="inlineStr">
        <is>
          <t>J</t>
        </is>
      </c>
      <c r="L24" s="24" t="inlineStr">
        <is>
          <t>valor = (2*b*tf^3+(h-2*tf)*tw^3)/3*1.3</t>
        </is>
      </c>
    </row>
    <row r="25">
      <c r="A25" s="17" t="n">
        <v>19</v>
      </c>
      <c r="B25" s="8" t="inlineStr">
        <is>
          <t>Constante de alabeo (Iw·(h−tf)²/4)</t>
        </is>
      </c>
      <c r="C25" s="17" t="inlineStr">
        <is>
          <t>mm⁶</t>
        </is>
      </c>
      <c r="D25" s="27">
        <f>$D$21*($D$15-$D$18)^2/4</f>
        <v/>
      </c>
      <c r="K25" s="17" t="inlineStr">
        <is>
          <t>Cw</t>
        </is>
      </c>
      <c r="L25" s="24" t="inlineStr">
        <is>
          <t>valor = Iw*(h-tf)^2/4</t>
        </is>
      </c>
    </row>
    <row r="26">
      <c r="A26" s="17" t="n">
        <v>20</v>
      </c>
      <c r="B26" s="8" t="inlineStr">
        <is>
          <t>Módulo plástico fuerte (geometría simplificada, tope 1,5·Ss)</t>
        </is>
      </c>
      <c r="C26" s="17" t="inlineStr">
        <is>
          <t>mm³</t>
        </is>
      </c>
      <c r="D26" s="38">
        <f>MIN($D$16*$D$18*($D$15-$D$18)+$D$17*($D$15-2*$D$18)^2/4,1.5*$D$22)</f>
        <v/>
      </c>
      <c r="K26" s="17" t="inlineStr">
        <is>
          <t>Zs</t>
        </is>
      </c>
      <c r="L26" s="24" t="inlineStr">
        <is>
          <t>valor = MIN(b*tf*(h-tf)+tw*(h-2*tf)^2/4,1.5*Ss)</t>
        </is>
      </c>
    </row>
    <row r="27">
      <c r="A27" s="17" t="n">
        <v>21</v>
      </c>
      <c r="B27" s="8" t="inlineStr">
        <is>
          <t>Módulo plástico débil (tope 1,5·Sw)</t>
        </is>
      </c>
      <c r="C27" s="17" t="inlineStr">
        <is>
          <t>mm³</t>
        </is>
      </c>
      <c r="D27" s="38">
        <f>MIN($D$18*$D$16^2/2+($D$15-2*$D$18)*$D$17^2/4,1.5*$D$23)</f>
        <v/>
      </c>
      <c r="K27" s="17" t="inlineStr">
        <is>
          <t>Zw</t>
        </is>
      </c>
      <c r="L27" s="24" t="inlineStr">
        <is>
          <t>valor = MIN(tf*b^2/2+(h-2*tf)*tw^2/4,1.5*Sw)</t>
        </is>
      </c>
    </row>
    <row r="28">
      <c r="A28" s="17" t="n">
        <v>22</v>
      </c>
      <c r="B28" s="8" t="inlineStr">
        <is>
          <t>Radio de giro fuerte</t>
        </is>
      </c>
      <c r="C28" s="17" t="inlineStr">
        <is>
          <t>mm</t>
        </is>
      </c>
      <c r="D28" s="26">
        <f>SQRT($D$20/$D$19)</f>
        <v/>
      </c>
      <c r="K28" s="17" t="inlineStr">
        <is>
          <t>rs</t>
        </is>
      </c>
      <c r="L28" s="24" t="inlineStr">
        <is>
          <t>valor = SQRT(Is/A)</t>
        </is>
      </c>
    </row>
    <row r="29">
      <c r="A29" s="17" t="n">
        <v>23</v>
      </c>
      <c r="B29" s="8" t="inlineStr">
        <is>
          <t>Radio de giro débil</t>
        </is>
      </c>
      <c r="C29" s="17" t="inlineStr">
        <is>
          <t>mm</t>
        </is>
      </c>
      <c r="D29" s="26">
        <f>SQRT($D$21/$D$19)</f>
        <v/>
      </c>
      <c r="K29" s="17" t="inlineStr">
        <is>
          <t>rw</t>
        </is>
      </c>
      <c r="L29" s="24" t="inlineStr">
        <is>
          <t>valor = SQRT(Iw/A)</t>
        </is>
      </c>
    </row>
    <row r="30">
      <c r="A30" s="17" t="n">
        <v>24</v>
      </c>
      <c r="B30" s="8" t="inlineStr">
        <is>
          <t>Radio polar al cuadrado (sección doblemente simétrica)</t>
        </is>
      </c>
      <c r="C30" s="17" t="inlineStr">
        <is>
          <t>mm²</t>
        </is>
      </c>
      <c r="D30" s="38">
        <f>($D$20+$D$21)/$D$19</f>
        <v/>
      </c>
      <c r="K30" s="17" t="inlineStr">
        <is>
          <t>r02</t>
        </is>
      </c>
      <c r="L30" s="24" t="inlineStr">
        <is>
          <t>valor = (Is+Iw)/A</t>
        </is>
      </c>
    </row>
    <row r="31">
      <c r="A31" s="17" t="n">
        <v>25</v>
      </c>
      <c r="B31" s="8" t="inlineStr">
        <is>
          <t>Longitud efectiva, pandeo en el eje fuerte</t>
        </is>
      </c>
      <c r="C31" s="17" t="inlineStr">
        <is>
          <t>mm</t>
        </is>
      </c>
      <c r="D31" s="38">
        <f>$D$10</f>
        <v/>
      </c>
      <c r="K31" s="17" t="inlineStr">
        <is>
          <t>kls</t>
        </is>
      </c>
      <c r="L31" s="24" t="inlineStr">
        <is>
          <t>valor = L</t>
        </is>
      </c>
    </row>
    <row r="32">
      <c r="A32" s="17" t="n">
        <v>26</v>
      </c>
      <c r="B32" s="8" t="inlineStr">
        <is>
          <t>Longitud efectiva, pandeo en el eje débil</t>
        </is>
      </c>
      <c r="C32" s="17" t="inlineStr">
        <is>
          <t>mm</t>
        </is>
      </c>
      <c r="D32" s="38">
        <f>$D$10</f>
        <v/>
      </c>
      <c r="K32" s="17" t="inlineStr">
        <is>
          <t>klw</t>
        </is>
      </c>
      <c r="L32" s="24" t="inlineStr">
        <is>
          <t>valor = L</t>
        </is>
      </c>
    </row>
    <row r="33">
      <c r="A33" s="17" t="n">
        <v>27</v>
      </c>
      <c r="B33" s="8" t="inlineStr">
        <is>
          <t>Tensión de Euler, eje fuerte</t>
        </is>
      </c>
      <c r="C33" s="17" t="inlineStr">
        <is>
          <t>MPa</t>
        </is>
      </c>
      <c r="D33" s="26">
        <f>PI()^2*$D$7/($D$31/$D$28)^2</f>
        <v/>
      </c>
      <c r="K33" s="17" t="inlineStr">
        <is>
          <t>Fes</t>
        </is>
      </c>
      <c r="L33" s="24" t="inlineStr">
        <is>
          <t>valor = PI()^2*E/(kls/rs)^2</t>
        </is>
      </c>
    </row>
    <row r="34">
      <c r="A34" s="17" t="n">
        <v>28</v>
      </c>
      <c r="B34" s="8" t="inlineStr">
        <is>
          <t>Tensión de Euler, eje débil</t>
        </is>
      </c>
      <c r="C34" s="17" t="inlineStr">
        <is>
          <t>MPa</t>
        </is>
      </c>
      <c r="D34" s="26">
        <f>PI()^2*$D$7/($D$32/$D$29)^2</f>
        <v/>
      </c>
      <c r="K34" s="17" t="inlineStr">
        <is>
          <t>Few</t>
        </is>
      </c>
      <c r="L34" s="24" t="inlineStr">
        <is>
          <t>valor = PI()^2*E/(klw/rw)^2</t>
        </is>
      </c>
    </row>
    <row r="35">
      <c r="A35" s="17" t="n">
        <v>29</v>
      </c>
      <c r="B35" s="8" t="inlineStr">
        <is>
          <t>Tensión de pandeo torsional</t>
        </is>
      </c>
      <c r="C35" s="17" t="inlineStr">
        <is>
          <t>MPa</t>
        </is>
      </c>
      <c r="D35" s="26">
        <f>(PI()^2*$D$7*$D$25/$D$32^2+$D$8*$D$24)/($D$19*$D$30)</f>
        <v/>
      </c>
      <c r="K35" s="17" t="inlineStr">
        <is>
          <t>Fez</t>
        </is>
      </c>
      <c r="L35" s="24" t="inlineStr">
        <is>
          <t>valor = (PI()^2*E*Cw/klw^2+G*J)/(A*r02)</t>
        </is>
      </c>
    </row>
    <row r="36">
      <c r="A36" s="17" t="n">
        <v>30</v>
      </c>
      <c r="B36" s="8" t="inlineStr">
        <is>
          <t>Tensión elástica crítica (la menor)</t>
        </is>
      </c>
      <c r="C36" s="17" t="inlineStr">
        <is>
          <t>MPa</t>
        </is>
      </c>
      <c r="D36" s="26">
        <f>MIN($D$33,$D$34,$D$35)</f>
        <v/>
      </c>
      <c r="K36" s="17" t="inlineStr">
        <is>
          <t>Fe</t>
        </is>
      </c>
      <c r="L36" s="24" t="inlineStr">
        <is>
          <t>valor = MIN(Fes,Few,Fez)</t>
        </is>
      </c>
    </row>
    <row r="37">
      <c r="A37" s="17" t="n">
        <v>31</v>
      </c>
      <c r="B37" s="8" t="inlineStr">
        <is>
          <t>Esbeltez adimensional λc</t>
        </is>
      </c>
      <c r="C37" s="17" t="inlineStr"/>
      <c r="D37" s="26">
        <f>SQRT($D$9/$D$36)</f>
        <v/>
      </c>
      <c r="K37" s="17" t="inlineStr">
        <is>
          <t>lc</t>
        </is>
      </c>
      <c r="L37" s="24" t="inlineStr">
        <is>
          <t>valor = SQRT(Fy/Fe)</t>
        </is>
      </c>
    </row>
    <row r="38">
      <c r="A38" s="17" t="n">
        <v>32</v>
      </c>
      <c r="B38" s="8" t="inlineStr">
        <is>
          <t>Tensión crítica Fcr</t>
        </is>
      </c>
      <c r="C38" s="17" t="inlineStr">
        <is>
          <t>MPa</t>
        </is>
      </c>
      <c r="D38" s="26">
        <f>IF($D$37&lt;=1.5,0.658^($D$37^2),0.877/$D$37^2)*$D$9</f>
        <v/>
      </c>
      <c r="K38" s="17" t="inlineStr">
        <is>
          <t>Fcr</t>
        </is>
      </c>
      <c r="L38" s="24" t="inlineStr">
        <is>
          <t>valor = IF(lc&lt;=1.5,0.658^(lc^2),0.877/lc^2)*Fy</t>
        </is>
      </c>
    </row>
    <row r="39">
      <c r="A39" s="17" t="n">
        <v>33</v>
      </c>
      <c r="B39" s="8" t="inlineStr">
        <is>
          <t>Resistencia de diseño a compresión φc·Pn</t>
        </is>
      </c>
      <c r="C39" s="17" t="inlineStr">
        <is>
          <t>kN</t>
        </is>
      </c>
      <c r="D39" s="26">
        <f>0.85*$D$19*$D$38/1000</f>
        <v/>
      </c>
      <c r="K39" s="17" t="inlineStr">
        <is>
          <t>phiPc</t>
        </is>
      </c>
      <c r="L39" s="24" t="inlineStr">
        <is>
          <t>valor = 0.85*A*Fcr/1000</t>
        </is>
      </c>
    </row>
    <row r="40">
      <c r="A40" s="17" t="n">
        <v>34</v>
      </c>
      <c r="B40" s="8" t="inlineStr">
        <is>
          <t>Momento plástico Mp = Fy·Zs</t>
        </is>
      </c>
      <c r="C40" s="17" t="inlineStr">
        <is>
          <t>N·mm</t>
        </is>
      </c>
      <c r="D40" s="27">
        <f>$D$9*$D$26</f>
        <v/>
      </c>
      <c r="K40" s="17" t="inlineStr">
        <is>
          <t>Mp</t>
        </is>
      </c>
      <c r="L40" s="24" t="inlineStr">
        <is>
          <t>valor = Fy*Zs</t>
        </is>
      </c>
    </row>
    <row r="41">
      <c r="A41" s="17" t="n">
        <v>35</v>
      </c>
      <c r="B41" s="8" t="inlineStr">
        <is>
          <t>Longitud límite plástica Lp = 1,76·rw·√(E/Fy)</t>
        </is>
      </c>
      <c r="C41" s="17" t="inlineStr">
        <is>
          <t>mm</t>
        </is>
      </c>
      <c r="D41" s="38">
        <f>1.76*$D$29*SQRT($D$7/$D$9)</f>
        <v/>
      </c>
      <c r="K41" s="17" t="inlineStr">
        <is>
          <t>Lp</t>
        </is>
      </c>
      <c r="L41" s="24" t="inlineStr">
        <is>
          <t>valor = 1.76*rw*SQRT(E/Fy)</t>
        </is>
      </c>
    </row>
    <row r="42">
      <c r="A42" s="17" t="n">
        <v>36</v>
      </c>
      <c r="B42" s="8" t="inlineStr">
        <is>
          <t>FL = Fy − 69 MPa</t>
        </is>
      </c>
      <c r="C42" s="17" t="inlineStr">
        <is>
          <t>MPa</t>
        </is>
      </c>
      <c r="D42" s="26">
        <f>$D$9-69</f>
        <v/>
      </c>
      <c r="K42" s="17" t="inlineStr">
        <is>
          <t>FL</t>
        </is>
      </c>
      <c r="L42" s="24" t="inlineStr">
        <is>
          <t>valor = Fy-69</t>
        </is>
      </c>
    </row>
    <row r="43">
      <c r="A43" s="17" t="n">
        <v>37</v>
      </c>
      <c r="B43" s="8" t="inlineStr">
        <is>
          <t>Coeficiente X1</t>
        </is>
      </c>
      <c r="C43" s="17" t="inlineStr">
        <is>
          <t>MPa</t>
        </is>
      </c>
      <c r="D43" s="38">
        <f>PI()/$D$22*SQRT($D$7*$D$8*$D$24*$D$19/2)</f>
        <v/>
      </c>
      <c r="K43" s="17" t="inlineStr">
        <is>
          <t>X1</t>
        </is>
      </c>
      <c r="L43" s="24" t="inlineStr">
        <is>
          <t>valor = PI()/Ss*SQRT(E*G*J*A/2)</t>
        </is>
      </c>
    </row>
    <row r="44">
      <c r="A44" s="17" t="n">
        <v>38</v>
      </c>
      <c r="B44" s="8" t="inlineStr">
        <is>
          <t>Coeficiente X2</t>
        </is>
      </c>
      <c r="C44" s="17" t="inlineStr">
        <is>
          <t>1/MPa²</t>
        </is>
      </c>
      <c r="D44" s="33">
        <f>4*$D$25/$D$21*($D$22/($D$8*$D$24))^2</f>
        <v/>
      </c>
      <c r="K44" s="17" t="inlineStr">
        <is>
          <t>X2</t>
        </is>
      </c>
      <c r="L44" s="24" t="inlineStr">
        <is>
          <t>valor = 4*Cw/Iw*(Ss/(G*J))^2</t>
        </is>
      </c>
    </row>
    <row r="45">
      <c r="A45" s="17" t="n">
        <v>39</v>
      </c>
      <c r="B45" s="8" t="inlineStr">
        <is>
          <t>Longitud límite inelástica Lr</t>
        </is>
      </c>
      <c r="C45" s="17" t="inlineStr">
        <is>
          <t>mm</t>
        </is>
      </c>
      <c r="D45" s="38">
        <f>$D$29*$D$43/$D$42*SQRT(1+SQRT(1+$D$44*$D$42^2))</f>
        <v/>
      </c>
      <c r="K45" s="17" t="inlineStr">
        <is>
          <t>Lr</t>
        </is>
      </c>
      <c r="L45" s="24" t="inlineStr">
        <is>
          <t>valor = rw*X1/FL*SQRT(1+SQRT(1+X2*FL^2))</t>
        </is>
      </c>
    </row>
    <row r="46">
      <c r="A46" s="17" t="n">
        <v>40</v>
      </c>
      <c r="B46" s="8" t="inlineStr">
        <is>
          <t>Momento Mr = FL·Ss</t>
        </is>
      </c>
      <c r="C46" s="17" t="inlineStr">
        <is>
          <t>N·mm</t>
        </is>
      </c>
      <c r="D46" s="27">
        <f>$D$42*$D$22</f>
        <v/>
      </c>
      <c r="K46" s="17" t="inlineStr">
        <is>
          <t>Mr</t>
        </is>
      </c>
      <c r="L46" s="24" t="inlineStr">
        <is>
          <t>valor = FL*Ss</t>
        </is>
      </c>
    </row>
    <row r="47">
      <c r="A47" s="17" t="n">
        <v>41</v>
      </c>
      <c r="B47" s="8" t="inlineStr">
        <is>
          <t>Longitud sin arriostrar</t>
        </is>
      </c>
      <c r="C47" s="17" t="inlineStr">
        <is>
          <t>mm</t>
        </is>
      </c>
      <c r="D47" s="38">
        <f>$D$10</f>
        <v/>
      </c>
      <c r="K47" s="17" t="inlineStr">
        <is>
          <t>Lb1</t>
        </is>
      </c>
      <c r="L47" s="24" t="inlineStr">
        <is>
          <t>valor = L</t>
        </is>
      </c>
    </row>
    <row r="48">
      <c r="A48" s="17" t="n">
        <v>42</v>
      </c>
      <c r="B48" s="8" t="inlineStr">
        <is>
          <t>Resistencia nominal Mn según el régimen</t>
        </is>
      </c>
      <c r="C48" s="17" t="inlineStr">
        <is>
          <t>N·mm</t>
        </is>
      </c>
      <c r="D48" s="27">
        <f>IF($D$47&lt;=$D$41,$D$40,IF($D$47&lt;=$D$45,MIN($D$40,$D$40-($D$40-$D$46)*($D$47-$D$41)/($D$45-$D$41)),MIN($D$40,PI()/$D$47*SQRT($D$7*$D$21*$D$8*$D$24+(PI()*$D$7/$D$47)^2*$D$21*$D$25))))</f>
        <v/>
      </c>
      <c r="K48" s="17" t="inlineStr">
        <is>
          <t>Mn1</t>
        </is>
      </c>
      <c r="L48" s="24" t="inlineStr">
        <is>
          <t>valor = IF(Lb1&lt;=Lp,Mp,IF(Lb1&lt;=Lr,MIN(Mp,Mp-(Mp-Mr)*(Lb1-Lp)/(Lr-Lp)),MIN(Mp,PI()/Lb1*SQRT(E*Iw*G*J+(PI()*E/Lb1)^2*Iw*Cw))))</t>
        </is>
      </c>
    </row>
    <row r="49">
      <c r="A49" s="17" t="n">
        <v>43</v>
      </c>
      <c r="B49" s="8" t="inlineStr">
        <is>
          <t>Resistencia de diseño φb·Mn</t>
        </is>
      </c>
      <c r="C49" s="17" t="inlineStr">
        <is>
          <t>kN·m</t>
        </is>
      </c>
      <c r="D49" s="26">
        <f>0.9*$D$48/1000000</f>
        <v/>
      </c>
      <c r="K49" s="17" t="inlineStr">
        <is>
          <t>phiMn1</t>
        </is>
      </c>
      <c r="L49" s="24" t="inlineStr">
        <is>
          <t>valor = 0.9*Mn1/1000000</t>
        </is>
      </c>
    </row>
    <row r="50">
      <c r="A50" s="17" t="n">
        <v>44</v>
      </c>
      <c r="B50" s="8" t="inlineStr">
        <is>
          <t>Resistencia de eje débil φb·Mw</t>
        </is>
      </c>
      <c r="C50" s="17" t="inlineStr">
        <is>
          <t>kN·m</t>
        </is>
      </c>
      <c r="D50" s="26">
        <f>0.9*$D$9*$D$27/1000000</f>
        <v/>
      </c>
      <c r="K50" s="17" t="inlineStr">
        <is>
          <t>phiMw</t>
        </is>
      </c>
      <c r="L50" s="24" t="inlineStr">
        <is>
          <t>valor = 0.9*Fy*Zw/1000000</t>
        </is>
      </c>
    </row>
    <row r="51">
      <c r="A51" s="17" t="n">
        <v>45</v>
      </c>
      <c r="B51" s="8" t="inlineStr">
        <is>
          <t>Momento último de eje fuerte</t>
        </is>
      </c>
      <c r="C51" s="17" t="inlineStr">
        <is>
          <t>kN·m</t>
        </is>
      </c>
      <c r="D51" s="26">
        <f>$D$11*$D$10^2/8/1000000</f>
        <v/>
      </c>
      <c r="K51" s="17" t="inlineStr">
        <is>
          <t>Mus</t>
        </is>
      </c>
      <c r="L51" s="24" t="inlineStr">
        <is>
          <t>valor = q*L^2/8/1000000</t>
        </is>
      </c>
    </row>
    <row r="52">
      <c r="A52" s="17" t="n">
        <v>46</v>
      </c>
      <c r="B52" s="8" t="inlineStr">
        <is>
          <t>Momento último de eje débil</t>
        </is>
      </c>
      <c r="C52" s="17" t="inlineStr">
        <is>
          <t>kN·m</t>
        </is>
      </c>
      <c r="D52" s="36">
        <f>$D$12*$D$10^2/8/1000000</f>
        <v/>
      </c>
      <c r="K52" s="17" t="inlineStr">
        <is>
          <t>Muw</t>
        </is>
      </c>
      <c r="L52" s="24" t="inlineStr">
        <is>
          <t>valor = qy*L^2/8/1000000</t>
        </is>
      </c>
    </row>
    <row r="53">
      <c r="A53" s="17" t="n">
        <v>47</v>
      </c>
      <c r="B53" s="8" t="inlineStr">
        <is>
          <t>Suma de las relaciones de momento</t>
        </is>
      </c>
      <c r="C53" s="17" t="inlineStr"/>
      <c r="D53" s="36">
        <f>$D$51/$D$49+$D$52/$D$50</f>
        <v/>
      </c>
      <c r="K53" s="17" t="inlineStr">
        <is>
          <t>mom</t>
        </is>
      </c>
      <c r="L53" s="24" t="inlineStr">
        <is>
          <t>valor = Mus/phiMn1+Muw/phiMw</t>
        </is>
      </c>
    </row>
    <row r="54">
      <c r="A54" s="17" t="n">
        <v>48</v>
      </c>
      <c r="B54" s="8" t="inlineStr">
        <is>
          <t>Pu/φcPn barra A</t>
        </is>
      </c>
      <c r="C54" s="17" t="inlineStr"/>
      <c r="D54" s="36">
        <f>$D$13/$D$39</f>
        <v/>
      </c>
      <c r="K54" s="17" t="inlineStr">
        <is>
          <t>rhoA</t>
        </is>
      </c>
      <c r="L54" s="24" t="inlineStr">
        <is>
          <t>valor = PuA/phiPc</t>
        </is>
      </c>
    </row>
    <row r="55">
      <c r="A55" s="17" t="n">
        <v>49</v>
      </c>
      <c r="B55" s="8" t="inlineStr">
        <is>
          <t>Pu/φcPn barra B</t>
        </is>
      </c>
      <c r="C55" s="17" t="inlineStr"/>
      <c r="D55" s="36">
        <f>$D$14/$D$39</f>
        <v/>
      </c>
      <c r="K55" s="17" t="inlineStr">
        <is>
          <t>rhoB</t>
        </is>
      </c>
      <c r="L55" s="24" t="inlineStr">
        <is>
          <t>valor = PuB/phiPc</t>
        </is>
      </c>
    </row>
    <row r="56">
      <c r="A56" s="17" t="n">
        <v>50</v>
      </c>
      <c r="B56" s="8" t="inlineStr">
        <is>
          <t>Relación de uso barra A</t>
        </is>
      </c>
      <c r="C56" s="17" t="inlineStr"/>
      <c r="D56" s="36">
        <f>IF($D$54&gt;=0.2,$D$54+8/9*$D$53,$D$54/2+$D$53)</f>
        <v/>
      </c>
      <c r="K56" s="17" t="inlineStr">
        <is>
          <t>rA</t>
        </is>
      </c>
      <c r="L56" s="24" t="inlineStr">
        <is>
          <t>valor = IF(rhoA&gt;=0.2,rhoA+8/9*mom,rhoA/2+mom)</t>
        </is>
      </c>
    </row>
    <row r="57">
      <c r="A57" s="17" t="n">
        <v>51</v>
      </c>
      <c r="B57" s="8" t="inlineStr">
        <is>
          <t>Relación de uso barra B</t>
        </is>
      </c>
      <c r="C57" s="17" t="inlineStr"/>
      <c r="D57" s="36">
        <f>IF($D$55&gt;=0.2,$D$55+8/9*$D$53,$D$55/2+$D$53)</f>
        <v/>
      </c>
      <c r="K57" s="17" t="inlineStr">
        <is>
          <t>rB</t>
        </is>
      </c>
      <c r="L57" s="24" t="inlineStr">
        <is>
          <t>valor = IF(rhoB&gt;=0.2,rhoB+8/9*mom,rhoB/2+mom)</t>
        </is>
      </c>
    </row>
    <row r="59">
      <c r="A59" s="22" t="inlineStr">
        <is>
          <t>COMPARACIÓN: TEORÍA / DATO PUBLICADO  vs  PROGRAMA (Atlas Estructuras 3D)</t>
        </is>
      </c>
      <c r="B59" s="22" t="n"/>
      <c r="C59" s="22" t="n"/>
      <c r="D59" s="22" t="n"/>
      <c r="E59" s="22" t="n"/>
      <c r="F59" s="22" t="n"/>
      <c r="G59" s="22" t="n"/>
      <c r="H59" s="22" t="n"/>
      <c r="I59" s="22" t="n"/>
      <c r="J59" s="22" t="n"/>
      <c r="K59" s="22" t="n"/>
      <c r="L59" s="22" t="n"/>
      <c r="M59" s="22" t="n"/>
      <c r="N59" s="22" t="n"/>
    </row>
    <row r="60" ht="30" customHeight="1">
      <c r="A60" s="5" t="inlineStr">
        <is>
          <t>#</t>
        </is>
      </c>
      <c r="B60" s="5" t="inlineStr">
        <is>
          <t>Comprobación</t>
        </is>
      </c>
      <c r="C60" s="5" t="inlineStr">
        <is>
          <t>Unidad</t>
        </is>
      </c>
      <c r="D60" s="5" t="inlineStr">
        <is>
          <t>Teoría / publicado</t>
        </is>
      </c>
      <c r="E60" s="5" t="inlineStr">
        <is>
          <t>Programa</t>
        </is>
      </c>
      <c r="F60" s="5" t="inlineStr">
        <is>
          <t>Diferencia (prog. − teoría)</t>
        </is>
      </c>
      <c r="G60" s="5" t="inlineStr">
        <is>
          <t>Error relativo</t>
        </is>
      </c>
      <c r="H60" s="5" t="inlineStr">
        <is>
          <t>Tol. relativa</t>
        </is>
      </c>
      <c r="I60" s="5" t="inlineStr">
        <is>
          <t>Tol. absoluta</t>
        </is>
      </c>
      <c r="J60" s="5" t="inlineStr">
        <is>
          <t>Estado</t>
        </is>
      </c>
      <c r="K60" s="5" t="inlineStr">
        <is>
          <t>Origen</t>
        </is>
      </c>
      <c r="L60" s="5" t="inlineStr">
        <is>
          <t>Expresión de la teoría (texto)</t>
        </is>
      </c>
      <c r="M60" s="5" t="inlineStr">
        <is>
          <t>Dónde se lee en el programa</t>
        </is>
      </c>
      <c r="N60" s="5" t="inlineStr">
        <is>
          <t>Nota</t>
        </is>
      </c>
    </row>
    <row r="61" ht="16" customHeight="1">
      <c r="A61" s="17" t="n">
        <v>1</v>
      </c>
      <c r="B61" s="8" t="inlineStr">
        <is>
          <t>Resistencia a compresión φc·Pn (K = 1)</t>
        </is>
      </c>
      <c r="C61" s="17" t="inlineStr">
        <is>
          <t>kN</t>
        </is>
      </c>
      <c r="D61" s="26">
        <f>$D$39</f>
        <v/>
      </c>
      <c r="E61" s="25" t="n">
        <v>130.5920146640591</v>
      </c>
      <c r="F61" s="27">
        <f>E61-D61</f>
        <v/>
      </c>
      <c r="G61" s="28">
        <f>IF(ABS(D61)&gt;0.000000000001,F61/D61,"—")</f>
        <v/>
      </c>
      <c r="H61" s="29" t="n">
        <v>0.0001</v>
      </c>
      <c r="I61" s="30" t="n">
        <v>1e-06</v>
      </c>
      <c r="J61" s="31">
        <f>IF(ABS(F61)&lt;=MAX(H61*ABS(D61),I61),"OK","NO")</f>
        <v/>
      </c>
      <c r="K61" s="17" t="inlineStr">
        <is>
          <t>Fórmula</t>
        </is>
      </c>
      <c r="L61" s="9" t="inlineStr">
        <is>
          <t>phiPc</t>
        </is>
      </c>
      <c r="M61" s="9" t="inlineStr">
        <is>
          <t>Barra 1: φc·Pn compresión (verificación de perfiles)</t>
        </is>
      </c>
      <c r="N61" s="9" t="inlineStr"/>
    </row>
    <row r="62" ht="16" customHeight="1">
      <c r="A62" s="17" t="n">
        <v>2</v>
      </c>
      <c r="B62" s="8" t="inlineStr">
        <is>
          <t>Resistencia a flexión de eje fuerte φb·Ms (Lb = 4 m)</t>
        </is>
      </c>
      <c r="C62" s="17" t="inlineStr">
        <is>
          <t>kN·m</t>
        </is>
      </c>
      <c r="D62" s="26">
        <f>$D$49</f>
        <v/>
      </c>
      <c r="E62" s="25" t="n">
        <v>30.12892899472235</v>
      </c>
      <c r="F62" s="27">
        <f>E62-D62</f>
        <v/>
      </c>
      <c r="G62" s="28">
        <f>IF(ABS(D62)&gt;0.000000000001,F62/D62,"—")</f>
        <v/>
      </c>
      <c r="H62" s="29" t="n">
        <v>0.0001</v>
      </c>
      <c r="I62" s="30" t="n">
        <v>1e-06</v>
      </c>
      <c r="J62" s="31">
        <f>IF(ABS(F62)&lt;=MAX(H62*ABS(D62),I62),"OK","NO")</f>
        <v/>
      </c>
      <c r="K62" s="17" t="inlineStr">
        <is>
          <t>Fórmula</t>
        </is>
      </c>
      <c r="L62" s="9" t="inlineStr">
        <is>
          <t>phiMn1</t>
        </is>
      </c>
      <c r="M62" s="9" t="inlineStr">
        <is>
          <t>Barra 1: φb·Mn flexión eje fuerte (verificación de perfiles)</t>
        </is>
      </c>
      <c r="N62" s="9" t="inlineStr"/>
    </row>
    <row r="63" ht="16" customHeight="1">
      <c r="A63" s="17" t="n">
        <v>3</v>
      </c>
      <c r="B63" s="8" t="inlineStr">
        <is>
          <t>Resistencia a flexión de eje débil φb·Mw</t>
        </is>
      </c>
      <c r="C63" s="17" t="inlineStr">
        <is>
          <t>kN·m</t>
        </is>
      </c>
      <c r="D63" s="26">
        <f>$D$50</f>
        <v/>
      </c>
      <c r="E63" s="25" t="n">
        <v>9.041625</v>
      </c>
      <c r="F63" s="27">
        <f>E63-D63</f>
        <v/>
      </c>
      <c r="G63" s="28">
        <f>IF(ABS(D63)&gt;0.000000000001,F63/D63,"—")</f>
        <v/>
      </c>
      <c r="H63" s="29" t="n">
        <v>0.0001</v>
      </c>
      <c r="I63" s="30" t="n">
        <v>1e-06</v>
      </c>
      <c r="J63" s="31">
        <f>IF(ABS(F63)&lt;=MAX(H63*ABS(D63),I63),"OK","NO")</f>
        <v/>
      </c>
      <c r="K63" s="17" t="inlineStr">
        <is>
          <t>Fórmula</t>
        </is>
      </c>
      <c r="L63" s="9" t="inlineStr">
        <is>
          <t>phiMw</t>
        </is>
      </c>
      <c r="M63" s="9" t="inlineStr">
        <is>
          <t>Barra 1: φb·Mn flexión eje débil (verificación de perfiles)</t>
        </is>
      </c>
      <c r="N63" s="9" t="inlineStr"/>
    </row>
    <row r="64" ht="28" customHeight="1">
      <c r="A64" s="17" t="n">
        <v>4</v>
      </c>
      <c r="B64" s="8" t="inlineStr">
        <is>
          <t>Momento de eje fuerte en la barra A</t>
        </is>
      </c>
      <c r="C64" s="17" t="inlineStr">
        <is>
          <t>kN·m</t>
        </is>
      </c>
      <c r="D64" s="26">
        <f>ABS($D$51)</f>
        <v/>
      </c>
      <c r="E64" s="25" t="n">
        <v>5.999999997941329</v>
      </c>
      <c r="F64" s="27">
        <f>E64-D64</f>
        <v/>
      </c>
      <c r="G64" s="28">
        <f>IF(ABS(D64)&gt;0.000000000001,F64/D64,"—")</f>
        <v/>
      </c>
      <c r="H64" s="29" t="n">
        <v>0.0001</v>
      </c>
      <c r="I64" s="30" t="n">
        <v>1e-06</v>
      </c>
      <c r="J64" s="31">
        <f>IF(ABS(F64)&lt;=MAX(H64*ABS(D64),I64),"OK","NO")</f>
        <v/>
      </c>
      <c r="K64" s="17" t="inlineStr">
        <is>
          <t>Fórmula</t>
        </is>
      </c>
      <c r="L64" s="9" t="inlineStr">
        <is>
          <t>Mus</t>
        </is>
      </c>
      <c r="M64" s="9" t="inlineStr">
        <is>
          <t>Barra 1, en x = 0.5·L, momento flector Mz (eje fuerte) · combinación «C1: D + Hy mayorados»</t>
        </is>
      </c>
      <c r="N64" s="9" t="inlineStr">
        <is>
          <t>Se comparan valores absolutos (la convención de signo es independiente del resultado).</t>
        </is>
      </c>
    </row>
    <row r="65" ht="28" customHeight="1">
      <c r="A65" s="17" t="n">
        <v>5</v>
      </c>
      <c r="B65" s="8" t="inlineStr">
        <is>
          <t>Momento de eje débil en la barra A</t>
        </is>
      </c>
      <c r="C65" s="17" t="inlineStr">
        <is>
          <t>kN·m</t>
        </is>
      </c>
      <c r="D65" s="36">
        <f>ABS($D$52)</f>
        <v/>
      </c>
      <c r="E65" s="37" t="n">
        <v>0.7999999962441309</v>
      </c>
      <c r="F65" s="27">
        <f>E65-D65</f>
        <v/>
      </c>
      <c r="G65" s="28">
        <f>IF(ABS(D65)&gt;0.000000000001,F65/D65,"—")</f>
        <v/>
      </c>
      <c r="H65" s="29" t="n">
        <v>0.0001</v>
      </c>
      <c r="I65" s="30" t="n">
        <v>1e-06</v>
      </c>
      <c r="J65" s="31">
        <f>IF(ABS(F65)&lt;=MAX(H65*ABS(D65),I65),"OK","NO")</f>
        <v/>
      </c>
      <c r="K65" s="17" t="inlineStr">
        <is>
          <t>Fórmula</t>
        </is>
      </c>
      <c r="L65" s="9" t="inlineStr">
        <is>
          <t>Muw</t>
        </is>
      </c>
      <c r="M65" s="9" t="inlineStr">
        <is>
          <t>Barra 1, en x = 0.5·L, momento flector My (eje débil) · combinación «C1: D + Hy mayorados»</t>
        </is>
      </c>
      <c r="N65" s="9" t="inlineStr">
        <is>
          <t>Se comparan valores absolutos (la convención de signo es independiente del resultado).</t>
        </is>
      </c>
    </row>
    <row r="66" ht="28" customHeight="1">
      <c r="A66" s="17" t="n">
        <v>6</v>
      </c>
      <c r="B66" s="8" t="inlineStr">
        <is>
          <t>Esfuerzo axil en la barra A (compresión −)</t>
        </is>
      </c>
      <c r="C66" s="17" t="inlineStr">
        <is>
          <t>kN</t>
        </is>
      </c>
      <c r="D66" s="26">
        <f>-$D$13</f>
        <v/>
      </c>
      <c r="E66" s="25" t="n">
        <v>-80</v>
      </c>
      <c r="F66" s="27">
        <f>E66-D66</f>
        <v/>
      </c>
      <c r="G66" s="28">
        <f>IF(ABS(D66)&gt;0.000000000001,F66/D66,"—")</f>
        <v/>
      </c>
      <c r="H66" s="29" t="n">
        <v>0.0001</v>
      </c>
      <c r="I66" s="30" t="n">
        <v>1e-06</v>
      </c>
      <c r="J66" s="31">
        <f>IF(ABS(F66)&lt;=MAX(H66*ABS(D66),I66),"OK","NO")</f>
        <v/>
      </c>
      <c r="K66" s="17" t="inlineStr">
        <is>
          <t>Fórmula</t>
        </is>
      </c>
      <c r="L66" s="9" t="inlineStr">
        <is>
          <t>-PuA</t>
        </is>
      </c>
      <c r="M66" s="9" t="inlineStr">
        <is>
          <t>Barra 1, en x = 0.5·L, esfuerzo axil N (tracción +) · combinación «C1: D + Hy mayorados»</t>
        </is>
      </c>
      <c r="N66" s="9" t="inlineStr"/>
    </row>
    <row r="67" ht="28" customHeight="1">
      <c r="A67" s="17" t="n">
        <v>7</v>
      </c>
      <c r="B67" s="8" t="inlineStr">
        <is>
          <t>Barra A (Pu/φcPn ≥ 0,2): relación de uso H1-1a</t>
        </is>
      </c>
      <c r="C67" s="17" t="inlineStr"/>
      <c r="D67" s="36">
        <f>$D$56</f>
        <v/>
      </c>
      <c r="E67" s="37" t="n">
        <v>0.868260502470703</v>
      </c>
      <c r="F67" s="27">
        <f>E67-D67</f>
        <v/>
      </c>
      <c r="G67" s="28">
        <f>IF(ABS(D67)&gt;0.000000000001,F67/D67,"—")</f>
        <v/>
      </c>
      <c r="H67" s="29" t="n">
        <v>0.0001</v>
      </c>
      <c r="I67" s="30" t="n">
        <v>1e-06</v>
      </c>
      <c r="J67" s="31">
        <f>IF(ABS(F67)&lt;=MAX(H67*ABS(D67),I67),"OK","NO")</f>
        <v/>
      </c>
      <c r="K67" s="17" t="inlineStr">
        <is>
          <t>Fórmula</t>
        </is>
      </c>
      <c r="L67" s="9" t="inlineStr">
        <is>
          <t>rA</t>
        </is>
      </c>
      <c r="M67" s="9" t="inlineStr">
        <is>
          <t>Barra 1: relación de uso r máxima entre combinaciones de resistencia</t>
        </is>
      </c>
      <c r="N67" s="9" t="inlineStr"/>
    </row>
    <row r="68" ht="28" customHeight="1">
      <c r="A68" s="17" t="n">
        <v>8</v>
      </c>
      <c r="B68" s="8" t="inlineStr">
        <is>
          <t>Barra B (Pu/φcPn &lt; 0,2): relación de uso H1-1b</t>
        </is>
      </c>
      <c r="C68" s="17" t="inlineStr"/>
      <c r="D68" s="36">
        <f>$D$57</f>
        <v/>
      </c>
      <c r="E68" s="37" t="n">
        <v>0.3450545917424966</v>
      </c>
      <c r="F68" s="27">
        <f>E68-D68</f>
        <v/>
      </c>
      <c r="G68" s="28">
        <f>IF(ABS(D68)&gt;0.000000000001,F68/D68,"—")</f>
        <v/>
      </c>
      <c r="H68" s="29" t="n">
        <v>0.0001</v>
      </c>
      <c r="I68" s="30" t="n">
        <v>1e-06</v>
      </c>
      <c r="J68" s="31">
        <f>IF(ABS(F68)&lt;=MAX(H68*ABS(D68),I68),"OK","NO")</f>
        <v/>
      </c>
      <c r="K68" s="17" t="inlineStr">
        <is>
          <t>Fórmula</t>
        </is>
      </c>
      <c r="L68" s="9" t="inlineStr">
        <is>
          <t>rB</t>
        </is>
      </c>
      <c r="M68" s="9" t="inlineStr">
        <is>
          <t>Barra 2: relación de uso r máxima entre combinaciones de resistencia</t>
        </is>
      </c>
      <c r="N68" s="9" t="inlineStr"/>
    </row>
    <row r="70">
      <c r="B70" s="4" t="inlineStr">
        <is>
          <t>Comprobaciones dentro de tolerancia</t>
        </is>
      </c>
      <c r="D70" s="4">
        <f>COUNTIF(J61:J68,"OK")</f>
        <v/>
      </c>
      <c r="E70" s="4">
        <f>ROWS(J61:J68)</f>
        <v/>
      </c>
      <c r="F70" s="4">
        <f>IF(D70=E70,"VERIFICA","DIFIERE")</f>
        <v/>
      </c>
    </row>
    <row r="71">
      <c r="B71" s="2" t="inlineStr">
        <is>
          <t>Azul = dato ingresado o valor que entregó el programa (pegado); negro = fórmula de Excel. El valor «Programa» es el resultado del motor de cálculo de la app para el mismo modelo.</t>
        </is>
      </c>
    </row>
  </sheetData>
  <mergeCells count="1">
    <mergeCell ref="A3:L3"/>
  </mergeCells>
  <conditionalFormatting sqref="J61:J68">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45.xml><?xml version="1.0" encoding="utf-8"?>
<worksheet xmlns="http://schemas.openxmlformats.org/spreadsheetml/2006/main">
  <sheetPr>
    <outlinePr summaryBelow="1" summaryRight="1"/>
    <pageSetUpPr fitToPage="1"/>
  </sheetPr>
  <dimension ref="A1:N57"/>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N09 · Cb a partir del diagrama de momentos real (LRFD-99 F1-3)</t>
        </is>
      </c>
    </row>
    <row r="2">
      <c r="A2" s="2" t="inlineStr">
        <is>
          <t>Fórmulas del Reglamento.  Fuente: Fórmulas del Reglamento CIRSOC 301-2005 / AISC-LRFD 1999 (apéndice B, caps. E y F) recalculadas aparte; no provienen de un ejemplo publicado. Las constantes están escritas de memoria: cotejarlas con el texto del Reglamento antes de usar el resultado para proyecto.</t>
        </is>
      </c>
    </row>
    <row r="3" ht="67.5" customHeight="1">
      <c r="A3" s="14" t="inlineStr">
        <is>
          <t>Enunciado. Cinco vigas IPE 300 de 6,00 m, arriostradas solo en los apoyos (Lb = L), con distintos diagramas de momento. El programa evalúa M en los cuartos de la luz con la solución exacta de la barra y aplica Cb = 12,5·Mmax/(2,5·Mmax + 3·MA + 4·MB + 3·MC). Se espera: carga uniforme → 1,136; carga central → 1,316; momentos de extremo iguales con el mismo sentido (curvatura doble) → 2,273; momentos de extremo opuestos (momento uniforme) → 1,000; viga biempotrada con carga uniforme → la fórmula da 100/42 = 2,38 y se limita al tope 2,3. Son los valores 1,14 / 1,32 / 2,27 / 1,00 que se citan habitualmente. Además se comprueba que la resistencia de diseño φb·Mn usada en la viga uniforme incluye el Cb en el tramo inelástico.</t>
        </is>
      </c>
    </row>
    <row r="4" ht="28" customHeight="1">
      <c r="A4" s="14" t="inlineStr">
        <is>
          <t>Perfil. IPE 300 (tabla, ver F02).</t>
        </is>
      </c>
    </row>
    <row r="6">
      <c r="A6" s="22" t="inlineStr">
        <is>
          <t>DATOS DEL EJERCICIO</t>
        </is>
      </c>
      <c r="B6" s="22" t="n"/>
      <c r="C6" s="22" t="n"/>
      <c r="D6" s="22" t="n"/>
      <c r="E6" s="22" t="n"/>
      <c r="F6" s="22" t="n"/>
      <c r="G6" s="22" t="n"/>
      <c r="H6" s="22" t="n"/>
      <c r="I6" s="22" t="n"/>
      <c r="J6" s="22" t="n"/>
      <c r="K6" s="22" t="n"/>
      <c r="L6" s="22" t="n"/>
      <c r="M6" s="22" t="n"/>
      <c r="N6" s="22" t="n"/>
    </row>
    <row r="7">
      <c r="A7" s="5" t="inlineStr">
        <is>
          <t>#</t>
        </is>
      </c>
      <c r="B7" s="5" t="inlineStr">
        <is>
          <t>Dato</t>
        </is>
      </c>
      <c r="C7" s="5" t="inlineStr">
        <is>
          <t>Unidad</t>
        </is>
      </c>
      <c r="D7" s="5" t="inlineStr">
        <is>
          <t>Valor</t>
        </is>
      </c>
      <c r="K7" s="5" t="inlineStr">
        <is>
          <t>Símbolo</t>
        </is>
      </c>
      <c r="L7" s="5" t="inlineStr">
        <is>
          <t>Fórmula (texto)</t>
        </is>
      </c>
    </row>
    <row r="8">
      <c r="A8" s="17" t="n">
        <v>1</v>
      </c>
      <c r="B8" s="8" t="inlineStr">
        <is>
          <t>Luz de las vigas (Lb = L)</t>
        </is>
      </c>
      <c r="C8" s="17" t="inlineStr">
        <is>
          <t>mm</t>
        </is>
      </c>
      <c r="D8" s="23" t="n">
        <v>6000</v>
      </c>
      <c r="K8" s="17" t="inlineStr">
        <is>
          <t>L</t>
        </is>
      </c>
      <c r="L8" s="24" t="inlineStr">
        <is>
          <t>dato ingresado</t>
        </is>
      </c>
    </row>
    <row r="9">
      <c r="A9" s="17" t="n">
        <v>2</v>
      </c>
      <c r="B9" s="8" t="inlineStr">
        <is>
          <t>Carga uniforme (viga 1)</t>
        </is>
      </c>
      <c r="C9" s="17" t="inlineStr">
        <is>
          <t>kN/m</t>
        </is>
      </c>
      <c r="D9" s="25" t="n">
        <v>10</v>
      </c>
      <c r="K9" s="17" t="inlineStr">
        <is>
          <t>q</t>
        </is>
      </c>
      <c r="L9" s="24" t="inlineStr">
        <is>
          <t>dato ingresado</t>
        </is>
      </c>
    </row>
    <row r="10">
      <c r="A10" s="17" t="n">
        <v>3</v>
      </c>
      <c r="B10" s="8" t="inlineStr">
        <is>
          <t>Carga central (viga 2)</t>
        </is>
      </c>
      <c r="C10" s="17" t="inlineStr">
        <is>
          <t>kN</t>
        </is>
      </c>
      <c r="D10" s="25" t="n">
        <v>30</v>
      </c>
      <c r="K10" s="17" t="inlineStr">
        <is>
          <t>P</t>
        </is>
      </c>
      <c r="L10" s="24" t="inlineStr">
        <is>
          <t>dato ingresado</t>
        </is>
      </c>
    </row>
    <row r="11">
      <c r="A11" s="17" t="n">
        <v>4</v>
      </c>
      <c r="B11" s="8" t="inlineStr">
        <is>
          <t>Momentos de extremo (vigas 3 y 4)</t>
        </is>
      </c>
      <c r="C11" s="17" t="inlineStr">
        <is>
          <t>kN·m</t>
        </is>
      </c>
      <c r="D11" s="25" t="n">
        <v>60</v>
      </c>
      <c r="K11" s="17" t="inlineStr">
        <is>
          <t>Mext</t>
        </is>
      </c>
      <c r="L11" s="24" t="inlineStr">
        <is>
          <t>dato ingresado</t>
        </is>
      </c>
    </row>
    <row r="12">
      <c r="A12" s="17" t="n">
        <v>5</v>
      </c>
      <c r="B12" s="8" t="inlineStr">
        <is>
          <t>Módulo elástico</t>
        </is>
      </c>
      <c r="C12" s="17" t="inlineStr">
        <is>
          <t>MPa</t>
        </is>
      </c>
      <c r="D12" s="23" t="n">
        <v>200000</v>
      </c>
      <c r="K12" s="17" t="inlineStr">
        <is>
          <t>E</t>
        </is>
      </c>
      <c r="L12" s="24" t="inlineStr">
        <is>
          <t>dato ingresado</t>
        </is>
      </c>
    </row>
    <row r="13">
      <c r="A13" s="17" t="n">
        <v>6</v>
      </c>
      <c r="B13" s="8" t="inlineStr">
        <is>
          <t>Módulo de corte</t>
        </is>
      </c>
      <c r="C13" s="17" t="inlineStr">
        <is>
          <t>MPa</t>
        </is>
      </c>
      <c r="D13" s="23" t="n">
        <v>77200</v>
      </c>
      <c r="K13" s="17" t="inlineStr">
        <is>
          <t>G</t>
        </is>
      </c>
      <c r="L13" s="24" t="inlineStr">
        <is>
          <t>dato ingresado</t>
        </is>
      </c>
    </row>
    <row r="14">
      <c r="A14" s="17" t="n">
        <v>7</v>
      </c>
      <c r="B14" s="8" t="inlineStr">
        <is>
          <t>Tensión de fluencia</t>
        </is>
      </c>
      <c r="C14" s="17" t="inlineStr">
        <is>
          <t>MPa</t>
        </is>
      </c>
      <c r="D14" s="25" t="n">
        <v>235</v>
      </c>
      <c r="K14" s="17" t="inlineStr">
        <is>
          <t>Fy</t>
        </is>
      </c>
      <c r="L14" s="24" t="inlineStr">
        <is>
          <t>dato ingresado</t>
        </is>
      </c>
    </row>
    <row r="15">
      <c r="A15" s="17" t="n">
        <v>8</v>
      </c>
      <c r="B15" s="8" t="inlineStr">
        <is>
          <t>IPE 300: altura</t>
        </is>
      </c>
      <c r="C15" s="17" t="inlineStr">
        <is>
          <t>mm</t>
        </is>
      </c>
      <c r="D15" s="25" t="n">
        <v>300</v>
      </c>
      <c r="K15" s="17" t="inlineStr">
        <is>
          <t>h</t>
        </is>
      </c>
      <c r="L15" s="24" t="inlineStr">
        <is>
          <t>dato ingresado</t>
        </is>
      </c>
    </row>
    <row r="16">
      <c r="A16" s="17" t="n">
        <v>9</v>
      </c>
      <c r="B16" s="8" t="inlineStr">
        <is>
          <t>Ancho de ala</t>
        </is>
      </c>
      <c r="C16" s="17" t="inlineStr">
        <is>
          <t>mm</t>
        </is>
      </c>
      <c r="D16" s="25" t="n">
        <v>150</v>
      </c>
      <c r="K16" s="17" t="inlineStr">
        <is>
          <t>b</t>
        </is>
      </c>
      <c r="L16" s="24" t="inlineStr">
        <is>
          <t>dato ingresado</t>
        </is>
      </c>
    </row>
    <row r="17">
      <c r="A17" s="17" t="n">
        <v>10</v>
      </c>
      <c r="B17" s="8" t="inlineStr">
        <is>
          <t>Espesor de alma</t>
        </is>
      </c>
      <c r="C17" s="17" t="inlineStr">
        <is>
          <t>mm</t>
        </is>
      </c>
      <c r="D17" s="25" t="n">
        <v>7.1</v>
      </c>
      <c r="K17" s="17" t="inlineStr">
        <is>
          <t>tw</t>
        </is>
      </c>
      <c r="L17" s="24" t="inlineStr">
        <is>
          <t>dato ingresado</t>
        </is>
      </c>
    </row>
    <row r="18">
      <c r="A18" s="17" t="n">
        <v>11</v>
      </c>
      <c r="B18" s="8" t="inlineStr">
        <is>
          <t>Espesor de ala</t>
        </is>
      </c>
      <c r="C18" s="17" t="inlineStr">
        <is>
          <t>mm</t>
        </is>
      </c>
      <c r="D18" s="25" t="n">
        <v>10.7</v>
      </c>
      <c r="K18" s="17" t="inlineStr">
        <is>
          <t>tf</t>
        </is>
      </c>
      <c r="L18" s="24" t="inlineStr">
        <is>
          <t>dato ingresado</t>
        </is>
      </c>
    </row>
    <row r="19">
      <c r="A19" s="17" t="n">
        <v>12</v>
      </c>
      <c r="B19" s="8" t="inlineStr">
        <is>
          <t>Área</t>
        </is>
      </c>
      <c r="C19" s="17" t="inlineStr">
        <is>
          <t>mm²</t>
        </is>
      </c>
      <c r="D19" s="23" t="n">
        <v>5380</v>
      </c>
      <c r="K19" s="17" t="inlineStr">
        <is>
          <t>A</t>
        </is>
      </c>
      <c r="L19" s="24" t="inlineStr">
        <is>
          <t>dato ingresado</t>
        </is>
      </c>
    </row>
    <row r="20">
      <c r="A20" s="17" t="n">
        <v>13</v>
      </c>
      <c r="B20" s="8" t="inlineStr">
        <is>
          <t>Inercia, eje fuerte (tabla)</t>
        </is>
      </c>
      <c r="C20" s="17" t="inlineStr">
        <is>
          <t>mm⁴</t>
        </is>
      </c>
      <c r="D20" s="35" t="n">
        <v>83560000</v>
      </c>
      <c r="K20" s="17" t="inlineStr">
        <is>
          <t>Is</t>
        </is>
      </c>
      <c r="L20" s="24" t="inlineStr">
        <is>
          <t>dato ingresado</t>
        </is>
      </c>
    </row>
    <row r="21">
      <c r="A21" s="17" t="n">
        <v>14</v>
      </c>
      <c r="B21" s="8" t="inlineStr">
        <is>
          <t>Inercia, eje débil (tabla)</t>
        </is>
      </c>
      <c r="C21" s="17" t="inlineStr">
        <is>
          <t>mm⁴</t>
        </is>
      </c>
      <c r="D21" s="23" t="n">
        <v>6040000</v>
      </c>
      <c r="K21" s="17" t="inlineStr">
        <is>
          <t>Iw</t>
        </is>
      </c>
      <c r="L21" s="24" t="inlineStr">
        <is>
          <t>dato ingresado</t>
        </is>
      </c>
    </row>
    <row r="22">
      <c r="A22" s="17" t="n">
        <v>15</v>
      </c>
      <c r="B22" s="8" t="inlineStr">
        <is>
          <t>Módulo resistente fuerte (tabla)</t>
        </is>
      </c>
      <c r="C22" s="17" t="inlineStr">
        <is>
          <t>mm³</t>
        </is>
      </c>
      <c r="D22" s="23" t="n">
        <v>557000</v>
      </c>
      <c r="K22" s="17" t="inlineStr">
        <is>
          <t>Ss</t>
        </is>
      </c>
      <c r="L22" s="24" t="inlineStr">
        <is>
          <t>dato ingresado</t>
        </is>
      </c>
    </row>
    <row r="23">
      <c r="A23" s="17" t="n">
        <v>16</v>
      </c>
      <c r="B23" s="8" t="inlineStr">
        <is>
          <t>Módulo resistente débil (tabla)</t>
        </is>
      </c>
      <c r="C23" s="17" t="inlineStr">
        <is>
          <t>mm³</t>
        </is>
      </c>
      <c r="D23" s="23" t="n">
        <v>80500</v>
      </c>
      <c r="K23" s="17" t="inlineStr">
        <is>
          <t>Sw</t>
        </is>
      </c>
      <c r="L23" s="24" t="inlineStr">
        <is>
          <t>dato ingresado</t>
        </is>
      </c>
    </row>
    <row r="24">
      <c r="A24" s="17" t="n">
        <v>17</v>
      </c>
      <c r="B24" s="8" t="inlineStr">
        <is>
          <t>Constante de torsión (aproximación del programa para perfiles I laminados)</t>
        </is>
      </c>
      <c r="C24" s="17" t="inlineStr">
        <is>
          <t>mm⁴</t>
        </is>
      </c>
      <c r="D24" s="38">
        <f>(2*$D$16*$D$18^3+($D$15-2*$D$18)*$D$17^3)/3*1.3</f>
        <v/>
      </c>
      <c r="K24" s="17" t="inlineStr">
        <is>
          <t>J</t>
        </is>
      </c>
      <c r="L24" s="24" t="inlineStr">
        <is>
          <t>valor = (2*b*tf^3+(h-2*tf)*tw^3)/3*1.3</t>
        </is>
      </c>
    </row>
    <row r="25">
      <c r="A25" s="17" t="n">
        <v>18</v>
      </c>
      <c r="B25" s="8" t="inlineStr">
        <is>
          <t>Constante de alabeo (Iw·(h−tf)²/4)</t>
        </is>
      </c>
      <c r="C25" s="17" t="inlineStr">
        <is>
          <t>mm⁶</t>
        </is>
      </c>
      <c r="D25" s="27">
        <f>$D$21*($D$15-$D$18)^2/4</f>
        <v/>
      </c>
      <c r="K25" s="17" t="inlineStr">
        <is>
          <t>Cw</t>
        </is>
      </c>
      <c r="L25" s="24" t="inlineStr">
        <is>
          <t>valor = Iw*(h-tf)^2/4</t>
        </is>
      </c>
    </row>
    <row r="26">
      <c r="A26" s="17" t="n">
        <v>19</v>
      </c>
      <c r="B26" s="8" t="inlineStr">
        <is>
          <t>Módulo plástico fuerte (geometría simplificada, tope 1,5·Ss)</t>
        </is>
      </c>
      <c r="C26" s="17" t="inlineStr">
        <is>
          <t>mm³</t>
        </is>
      </c>
      <c r="D26" s="38">
        <f>MIN($D$16*$D$18*($D$15-$D$18)+$D$17*($D$15-2*$D$18)^2/4,1.5*$D$22)</f>
        <v/>
      </c>
      <c r="K26" s="17" t="inlineStr">
        <is>
          <t>Zs</t>
        </is>
      </c>
      <c r="L26" s="24" t="inlineStr">
        <is>
          <t>valor = MIN(b*tf*(h-tf)+tw*(h-2*tf)^2/4,1.5*Ss)</t>
        </is>
      </c>
    </row>
    <row r="27">
      <c r="A27" s="17" t="n">
        <v>20</v>
      </c>
      <c r="B27" s="8" t="inlineStr">
        <is>
          <t>Módulo plástico débil (tope 1,5·Sw)</t>
        </is>
      </c>
      <c r="C27" s="17" t="inlineStr">
        <is>
          <t>mm³</t>
        </is>
      </c>
      <c r="D27" s="38">
        <f>MIN($D$18*$D$16^2/2+($D$15-2*$D$18)*$D$17^2/4,1.5*$D$23)</f>
        <v/>
      </c>
      <c r="K27" s="17" t="inlineStr">
        <is>
          <t>Zw</t>
        </is>
      </c>
      <c r="L27" s="24" t="inlineStr">
        <is>
          <t>valor = MIN(tf*b^2/2+(h-2*tf)*tw^2/4,1.5*Sw)</t>
        </is>
      </c>
    </row>
    <row r="28">
      <c r="A28" s="17" t="n">
        <v>21</v>
      </c>
      <c r="B28" s="8" t="inlineStr">
        <is>
          <t>Radio de giro fuerte</t>
        </is>
      </c>
      <c r="C28" s="17" t="inlineStr">
        <is>
          <t>mm</t>
        </is>
      </c>
      <c r="D28" s="26">
        <f>SQRT($D$20/$D$19)</f>
        <v/>
      </c>
      <c r="K28" s="17" t="inlineStr">
        <is>
          <t>rs</t>
        </is>
      </c>
      <c r="L28" s="24" t="inlineStr">
        <is>
          <t>valor = SQRT(Is/A)</t>
        </is>
      </c>
    </row>
    <row r="29">
      <c r="A29" s="17" t="n">
        <v>22</v>
      </c>
      <c r="B29" s="8" t="inlineStr">
        <is>
          <t>Radio de giro débil</t>
        </is>
      </c>
      <c r="C29" s="17" t="inlineStr">
        <is>
          <t>mm</t>
        </is>
      </c>
      <c r="D29" s="26">
        <f>SQRT($D$21/$D$19)</f>
        <v/>
      </c>
      <c r="K29" s="17" t="inlineStr">
        <is>
          <t>rw</t>
        </is>
      </c>
      <c r="L29" s="24" t="inlineStr">
        <is>
          <t>valor = SQRT(Iw/A)</t>
        </is>
      </c>
    </row>
    <row r="30">
      <c r="A30" s="17" t="n">
        <v>23</v>
      </c>
      <c r="B30" s="8" t="inlineStr">
        <is>
          <t>Radio polar al cuadrado (sección doblemente simétrica)</t>
        </is>
      </c>
      <c r="C30" s="17" t="inlineStr">
        <is>
          <t>mm²</t>
        </is>
      </c>
      <c r="D30" s="38">
        <f>($D$20+$D$21)/$D$19</f>
        <v/>
      </c>
      <c r="K30" s="17" t="inlineStr">
        <is>
          <t>r02</t>
        </is>
      </c>
      <c r="L30" s="24" t="inlineStr">
        <is>
          <t>valor = (Is+Iw)/A</t>
        </is>
      </c>
    </row>
    <row r="31">
      <c r="A31" s="17" t="n">
        <v>24</v>
      </c>
      <c r="B31" s="8" t="inlineStr">
        <is>
          <t>Momento plástico Mp = Fy·Zs</t>
        </is>
      </c>
      <c r="C31" s="17" t="inlineStr">
        <is>
          <t>N·mm</t>
        </is>
      </c>
      <c r="D31" s="27">
        <f>$D$14*$D$26</f>
        <v/>
      </c>
      <c r="K31" s="17" t="inlineStr">
        <is>
          <t>Mp</t>
        </is>
      </c>
      <c r="L31" s="24" t="inlineStr">
        <is>
          <t>valor = Fy*Zs</t>
        </is>
      </c>
    </row>
    <row r="32">
      <c r="A32" s="17" t="n">
        <v>25</v>
      </c>
      <c r="B32" s="8" t="inlineStr">
        <is>
          <t>Longitud límite plástica Lp = 1,76·rw·√(E/Fy)</t>
        </is>
      </c>
      <c r="C32" s="17" t="inlineStr">
        <is>
          <t>mm</t>
        </is>
      </c>
      <c r="D32" s="38">
        <f>1.76*$D$29*SQRT($D$12/$D$14)</f>
        <v/>
      </c>
      <c r="K32" s="17" t="inlineStr">
        <is>
          <t>Lp</t>
        </is>
      </c>
      <c r="L32" s="24" t="inlineStr">
        <is>
          <t>valor = 1.76*rw*SQRT(E/Fy)</t>
        </is>
      </c>
    </row>
    <row r="33">
      <c r="A33" s="17" t="n">
        <v>26</v>
      </c>
      <c r="B33" s="8" t="inlineStr">
        <is>
          <t>FL = Fy − 69 MPa</t>
        </is>
      </c>
      <c r="C33" s="17" t="inlineStr">
        <is>
          <t>MPa</t>
        </is>
      </c>
      <c r="D33" s="26">
        <f>$D$14-69</f>
        <v/>
      </c>
      <c r="K33" s="17" t="inlineStr">
        <is>
          <t>FL</t>
        </is>
      </c>
      <c r="L33" s="24" t="inlineStr">
        <is>
          <t>valor = Fy-69</t>
        </is>
      </c>
    </row>
    <row r="34">
      <c r="A34" s="17" t="n">
        <v>27</v>
      </c>
      <c r="B34" s="8" t="inlineStr">
        <is>
          <t>Coeficiente X1</t>
        </is>
      </c>
      <c r="C34" s="17" t="inlineStr">
        <is>
          <t>MPa</t>
        </is>
      </c>
      <c r="D34" s="38">
        <f>PI()/$D$22*SQRT($D$12*$D$13*$D$24*$D$19/2)</f>
        <v/>
      </c>
      <c r="K34" s="17" t="inlineStr">
        <is>
          <t>X1</t>
        </is>
      </c>
      <c r="L34" s="24" t="inlineStr">
        <is>
          <t>valor = PI()/Ss*SQRT(E*G*J*A/2)</t>
        </is>
      </c>
    </row>
    <row r="35">
      <c r="A35" s="17" t="n">
        <v>28</v>
      </c>
      <c r="B35" s="8" t="inlineStr">
        <is>
          <t>Coeficiente X2</t>
        </is>
      </c>
      <c r="C35" s="17" t="inlineStr">
        <is>
          <t>1/MPa²</t>
        </is>
      </c>
      <c r="D35" s="33">
        <f>4*$D$25/$D$21*($D$22/($D$13*$D$24))^2</f>
        <v/>
      </c>
      <c r="K35" s="17" t="inlineStr">
        <is>
          <t>X2</t>
        </is>
      </c>
      <c r="L35" s="24" t="inlineStr">
        <is>
          <t>valor = 4*Cw/Iw*(Ss/(G*J))^2</t>
        </is>
      </c>
    </row>
    <row r="36">
      <c r="A36" s="17" t="n">
        <v>29</v>
      </c>
      <c r="B36" s="8" t="inlineStr">
        <is>
          <t>Longitud límite inelástica Lr</t>
        </is>
      </c>
      <c r="C36" s="17" t="inlineStr">
        <is>
          <t>mm</t>
        </is>
      </c>
      <c r="D36" s="38">
        <f>$D$29*$D$34/$D$33*SQRT(1+SQRT(1+$D$35*$D$33^2))</f>
        <v/>
      </c>
      <c r="K36" s="17" t="inlineStr">
        <is>
          <t>Lr</t>
        </is>
      </c>
      <c r="L36" s="24" t="inlineStr">
        <is>
          <t>valor = rw*X1/FL*SQRT(1+SQRT(1+X2*FL^2))</t>
        </is>
      </c>
    </row>
    <row r="37">
      <c r="A37" s="17" t="n">
        <v>30</v>
      </c>
      <c r="B37" s="8" t="inlineStr">
        <is>
          <t>Momento Mr = FL·Ss</t>
        </is>
      </c>
      <c r="C37" s="17" t="inlineStr">
        <is>
          <t>N·mm</t>
        </is>
      </c>
      <c r="D37" s="27">
        <f>$D$33*$D$22</f>
        <v/>
      </c>
      <c r="K37" s="17" t="inlineStr">
        <is>
          <t>Mr</t>
        </is>
      </c>
      <c r="L37" s="24" t="inlineStr">
        <is>
          <t>valor = FL*Ss</t>
        </is>
      </c>
    </row>
    <row r="38">
      <c r="A38" s="17" t="n">
        <v>31</v>
      </c>
      <c r="B38" s="8" t="inlineStr">
        <is>
          <t>Longitud sin arriostrar</t>
        </is>
      </c>
      <c r="C38" s="17" t="inlineStr">
        <is>
          <t>mm</t>
        </is>
      </c>
      <c r="D38" s="38">
        <f>$D$8</f>
        <v/>
      </c>
      <c r="K38" s="17" t="inlineStr">
        <is>
          <t>Lb</t>
        </is>
      </c>
      <c r="L38" s="24" t="inlineStr">
        <is>
          <t>valor = L</t>
        </is>
      </c>
    </row>
    <row r="39">
      <c r="A39" s="17" t="n">
        <v>32</v>
      </c>
      <c r="B39" s="8" t="inlineStr">
        <is>
          <t>Cb, carga uniforme</t>
        </is>
      </c>
      <c r="C39" s="17" t="inlineStr"/>
      <c r="D39" s="26">
        <f>12.5*($D$9*$D$8^2/8)/(2.5*($D$9*$D$8^2/8)+3*(3*$D$9*$D$8^2/32)+4*($D$9*$D$8^2/8)+3*(3*$D$9*$D$8^2/32))</f>
        <v/>
      </c>
      <c r="K39" s="17" t="inlineStr">
        <is>
          <t>Cb1</t>
        </is>
      </c>
      <c r="L39" s="24" t="inlineStr">
        <is>
          <t>valor = 12.5*(q*L^2/8)/(2.5*(q*L^2/8)+3*(3*q*L^2/32)+4*(q*L^2/8)+3*(3*q*L^2/32))</t>
        </is>
      </c>
    </row>
    <row r="40">
      <c r="A40" s="17" t="n">
        <v>33</v>
      </c>
      <c r="B40" s="8" t="inlineStr">
        <is>
          <t>Cb, carga puntual central</t>
        </is>
      </c>
      <c r="C40" s="17" t="inlineStr"/>
      <c r="D40" s="26">
        <f>12.5*($D$10*$D$8/4)/(2.5*($D$10*$D$8/4)+3*($D$10*$D$8/8)+4*($D$10*$D$8/4)+3*($D$10*$D$8/8))</f>
        <v/>
      </c>
      <c r="K40" s="17" t="inlineStr">
        <is>
          <t>Cb2</t>
        </is>
      </c>
      <c r="L40" s="24" t="inlineStr">
        <is>
          <t>valor = 12.5*(P*L/4)/(2.5*(P*L/4)+3*(P*L/8)+4*(P*L/4)+3*(P*L/8))</t>
        </is>
      </c>
    </row>
    <row r="41">
      <c r="A41" s="17" t="n">
        <v>34</v>
      </c>
      <c r="B41" s="8" t="inlineStr">
        <is>
          <t>Cb, momentos de extremo iguales (M, M/2, 0, −M/2)</t>
        </is>
      </c>
      <c r="C41" s="17" t="inlineStr"/>
      <c r="D41" s="26">
        <f>12.5/(2.5+3*0.5+4*0+3*0.5)</f>
        <v/>
      </c>
      <c r="K41" s="17" t="inlineStr">
        <is>
          <t>Cb3</t>
        </is>
      </c>
      <c r="L41" s="24" t="inlineStr">
        <is>
          <t>valor = 12.5/(2.5+3*0.5+4*0+3*0.5)</t>
        </is>
      </c>
    </row>
    <row r="42">
      <c r="A42" s="17" t="n">
        <v>35</v>
      </c>
      <c r="B42" s="8" t="inlineStr">
        <is>
          <t>Cb, viga biempotrada con carga uniforme: M = −8, +1, +4, +1 (en 1/96 de wL²), tope 2,3</t>
        </is>
      </c>
      <c r="C42" s="17" t="inlineStr"/>
      <c r="D42" s="26">
        <f>MIN(2.3,12.5*8/(2.5*8+3*1+4*4+3*1))</f>
        <v/>
      </c>
      <c r="K42" s="17" t="inlineStr">
        <is>
          <t>Cb4</t>
        </is>
      </c>
      <c r="L42" s="24" t="inlineStr">
        <is>
          <t>valor = MIN(2.3,12.5*8/(2.5*8+3*1+4*4+3*1))</t>
        </is>
      </c>
    </row>
    <row r="43">
      <c r="A43" s="17" t="n">
        <v>36</v>
      </c>
      <c r="B43" s="8" t="inlineStr">
        <is>
          <t>Cb de la viga 1 (para φb·Mn)</t>
        </is>
      </c>
      <c r="C43" s="17" t="inlineStr"/>
      <c r="D43" s="26">
        <f>$D$39</f>
        <v/>
      </c>
      <c r="K43" s="17" t="inlineStr">
        <is>
          <t>Cb</t>
        </is>
      </c>
      <c r="L43" s="24" t="inlineStr">
        <is>
          <t>valor = Cb1</t>
        </is>
      </c>
    </row>
    <row r="44">
      <c r="A44" s="17" t="n">
        <v>37</v>
      </c>
      <c r="B44" s="8" t="inlineStr">
        <is>
          <t>Mn con Cb (viga 1)</t>
        </is>
      </c>
      <c r="C44" s="17" t="inlineStr">
        <is>
          <t>N·mm</t>
        </is>
      </c>
      <c r="D44" s="27">
        <f>IF($D$38&lt;=$D$32,$D$31,IF($D$38&lt;=$D$36,MIN($D$31,$D$43*($D$31-($D$31-$D$37)*($D$38-$D$32)/($D$36-$D$32))),MIN($D$31,$D$43*PI()/$D$38*SQRT($D$12*$D$21*$D$13*$D$24+(PI()*$D$12/$D$38)^2*$D$21*$D$25))))</f>
        <v/>
      </c>
      <c r="K44" s="17" t="inlineStr">
        <is>
          <t>MnCb</t>
        </is>
      </c>
      <c r="L44" s="24" t="inlineStr">
        <is>
          <t>valor = IF(Lb&lt;=Lp,Mp,IF(Lb&lt;=Lr,MIN(Mp,Cb*(Mp-(Mp-Mr)*(Lb-Lp)/(Lr-Lp))),MIN(Mp,Cb*PI()/Lb*SQRT(E*Iw*G*J+(PI()*E/Lb)^2*Iw*Cw))))</t>
        </is>
      </c>
    </row>
    <row r="45">
      <c r="A45" s="17" t="n">
        <v>38</v>
      </c>
      <c r="B45" s="8" t="inlineStr">
        <is>
          <t>φb·Mn de la viga 1</t>
        </is>
      </c>
      <c r="C45" s="17" t="inlineStr">
        <is>
          <t>N·mm</t>
        </is>
      </c>
      <c r="D45" s="27">
        <f>0.9*$D$44</f>
        <v/>
      </c>
      <c r="K45" s="17" t="inlineStr">
        <is>
          <t>phiMnCb</t>
        </is>
      </c>
      <c r="L45" s="24" t="inlineStr">
        <is>
          <t>valor = 0.9*MnCb</t>
        </is>
      </c>
    </row>
    <row r="47">
      <c r="A47" s="22" t="inlineStr">
        <is>
          <t>COMPARACIÓN: TEORÍA / DATO PUBLICADO  vs  PROGRAMA (Atlas Estructuras 3D)</t>
        </is>
      </c>
      <c r="B47" s="22" t="n"/>
      <c r="C47" s="22" t="n"/>
      <c r="D47" s="22" t="n"/>
      <c r="E47" s="22" t="n"/>
      <c r="F47" s="22" t="n"/>
      <c r="G47" s="22" t="n"/>
      <c r="H47" s="22" t="n"/>
      <c r="I47" s="22" t="n"/>
      <c r="J47" s="22" t="n"/>
      <c r="K47" s="22" t="n"/>
      <c r="L47" s="22" t="n"/>
      <c r="M47" s="22" t="n"/>
      <c r="N47" s="22" t="n"/>
    </row>
    <row r="48" ht="30" customHeight="1">
      <c r="A48" s="5" t="inlineStr">
        <is>
          <t>#</t>
        </is>
      </c>
      <c r="B48" s="5" t="inlineStr">
        <is>
          <t>Comprobación</t>
        </is>
      </c>
      <c r="C48" s="5" t="inlineStr">
        <is>
          <t>Unidad</t>
        </is>
      </c>
      <c r="D48" s="5" t="inlineStr">
        <is>
          <t>Teoría / publicado</t>
        </is>
      </c>
      <c r="E48" s="5" t="inlineStr">
        <is>
          <t>Programa</t>
        </is>
      </c>
      <c r="F48" s="5" t="inlineStr">
        <is>
          <t>Diferencia (prog. − teoría)</t>
        </is>
      </c>
      <c r="G48" s="5" t="inlineStr">
        <is>
          <t>Error relativo</t>
        </is>
      </c>
      <c r="H48" s="5" t="inlineStr">
        <is>
          <t>Tol. relativa</t>
        </is>
      </c>
      <c r="I48" s="5" t="inlineStr">
        <is>
          <t>Tol. absoluta</t>
        </is>
      </c>
      <c r="J48" s="5" t="inlineStr">
        <is>
          <t>Estado</t>
        </is>
      </c>
      <c r="K48" s="5" t="inlineStr">
        <is>
          <t>Origen</t>
        </is>
      </c>
      <c r="L48" s="5" t="inlineStr">
        <is>
          <t>Expresión de la teoría (texto)</t>
        </is>
      </c>
      <c r="M48" s="5" t="inlineStr">
        <is>
          <t>Dónde se lee en el programa</t>
        </is>
      </c>
      <c r="N48" s="5" t="inlineStr">
        <is>
          <t>Nota</t>
        </is>
      </c>
    </row>
    <row r="49" ht="16" customHeight="1">
      <c r="A49" s="17" t="n">
        <v>1</v>
      </c>
      <c r="B49" s="8" t="inlineStr">
        <is>
          <t>Cb de la viga con carga uniforme (≈ 1,14)</t>
        </is>
      </c>
      <c r="C49" s="17" t="inlineStr"/>
      <c r="D49" s="26">
        <f>$D$39</f>
        <v/>
      </c>
      <c r="E49" s="25" t="n">
        <v>1.136363636382181</v>
      </c>
      <c r="F49" s="27">
        <f>E49-D49</f>
        <v/>
      </c>
      <c r="G49" s="28">
        <f>IF(ABS(D49)&gt;0.000000000001,F49/D49,"—")</f>
        <v/>
      </c>
      <c r="H49" s="29" t="n">
        <v>0.0001</v>
      </c>
      <c r="I49" s="30" t="n">
        <v>1e-06</v>
      </c>
      <c r="J49" s="31">
        <f>IF(ABS(F49)&lt;=MAX(H49*ABS(D49),I49),"OK","NO")</f>
        <v/>
      </c>
      <c r="K49" s="17" t="inlineStr">
        <is>
          <t>Fórmula</t>
        </is>
      </c>
      <c r="L49" s="9" t="inlineStr">
        <is>
          <t>Cb1</t>
        </is>
      </c>
      <c r="M49" s="9" t="inlineStr">
        <is>
          <t>Barra 1: coeficiente Cb de la combinación que gobierna</t>
        </is>
      </c>
      <c r="N49" s="9" t="inlineStr"/>
    </row>
    <row r="50" ht="16" customHeight="1">
      <c r="A50" s="17" t="n">
        <v>2</v>
      </c>
      <c r="B50" s="8" t="inlineStr">
        <is>
          <t>Cb de la viga con carga puntual central (≈ 1,32)</t>
        </is>
      </c>
      <c r="C50" s="17" t="inlineStr"/>
      <c r="D50" s="26">
        <f>$D$40</f>
        <v/>
      </c>
      <c r="E50" s="25" t="n">
        <v>1.315789473721505</v>
      </c>
      <c r="F50" s="27">
        <f>E50-D50</f>
        <v/>
      </c>
      <c r="G50" s="28">
        <f>IF(ABS(D50)&gt;0.000000000001,F50/D50,"—")</f>
        <v/>
      </c>
      <c r="H50" s="29" t="n">
        <v>0.0001</v>
      </c>
      <c r="I50" s="30" t="n">
        <v>1e-06</v>
      </c>
      <c r="J50" s="31">
        <f>IF(ABS(F50)&lt;=MAX(H50*ABS(D50),I50),"OK","NO")</f>
        <v/>
      </c>
      <c r="K50" s="17" t="inlineStr">
        <is>
          <t>Fórmula</t>
        </is>
      </c>
      <c r="L50" s="9" t="inlineStr">
        <is>
          <t>Cb2</t>
        </is>
      </c>
      <c r="M50" s="9" t="inlineStr">
        <is>
          <t>Barra 2: coeficiente Cb de la combinación que gobierna</t>
        </is>
      </c>
      <c r="N50" s="9" t="inlineStr"/>
    </row>
    <row r="51" ht="28" customHeight="1">
      <c r="A51" s="17" t="n">
        <v>3</v>
      </c>
      <c r="B51" s="8" t="inlineStr">
        <is>
          <t>Cb con momentos de extremo iguales, curvatura doble (≈ 2,27)</t>
        </is>
      </c>
      <c r="C51" s="17" t="inlineStr"/>
      <c r="D51" s="26">
        <f>$D$41</f>
        <v/>
      </c>
      <c r="E51" s="25" t="n">
        <v>2.272727272727272</v>
      </c>
      <c r="F51" s="27">
        <f>E51-D51</f>
        <v/>
      </c>
      <c r="G51" s="28">
        <f>IF(ABS(D51)&gt;0.000000000001,F51/D51,"—")</f>
        <v/>
      </c>
      <c r="H51" s="29" t="n">
        <v>0.0001</v>
      </c>
      <c r="I51" s="30" t="n">
        <v>1e-06</v>
      </c>
      <c r="J51" s="31">
        <f>IF(ABS(F51)&lt;=MAX(H51*ABS(D51),I51),"OK","NO")</f>
        <v/>
      </c>
      <c r="K51" s="17" t="inlineStr">
        <is>
          <t>Fórmula</t>
        </is>
      </c>
      <c r="L51" s="9" t="inlineStr">
        <is>
          <t>Cb3</t>
        </is>
      </c>
      <c r="M51" s="9" t="inlineStr">
        <is>
          <t>Barra 3: coeficiente Cb de la combinación que gobierna</t>
        </is>
      </c>
      <c r="N51" s="9" t="inlineStr"/>
    </row>
    <row r="52" ht="16" customHeight="1">
      <c r="A52" s="17" t="n">
        <v>4</v>
      </c>
      <c r="B52" s="8" t="inlineStr">
        <is>
          <t>Cb con momentos de extremo opuestos, momento uniforme</t>
        </is>
      </c>
      <c r="C52" s="17" t="inlineStr"/>
      <c r="D52" s="26">
        <f>1</f>
        <v/>
      </c>
      <c r="E52" s="25" t="n">
        <v>1</v>
      </c>
      <c r="F52" s="27">
        <f>E52-D52</f>
        <v/>
      </c>
      <c r="G52" s="28">
        <f>IF(ABS(D52)&gt;0.000000000001,F52/D52,"—")</f>
        <v/>
      </c>
      <c r="H52" s="29" t="n">
        <v>0.0001</v>
      </c>
      <c r="I52" s="30" t="n">
        <v>1e-06</v>
      </c>
      <c r="J52" s="31">
        <f>IF(ABS(F52)&lt;=MAX(H52*ABS(D52),I52),"OK","NO")</f>
        <v/>
      </c>
      <c r="K52" s="17" t="inlineStr">
        <is>
          <t>Fórmula</t>
        </is>
      </c>
      <c r="L52" s="9" t="inlineStr">
        <is>
          <t>1</t>
        </is>
      </c>
      <c r="M52" s="9" t="inlineStr">
        <is>
          <t>Barra 4: coeficiente Cb de la combinación que gobierna</t>
        </is>
      </c>
      <c r="N52" s="9" t="inlineStr"/>
    </row>
    <row r="53" ht="28" customHeight="1">
      <c r="A53" s="17" t="n">
        <v>5</v>
      </c>
      <c r="B53" s="8" t="inlineStr">
        <is>
          <t>Cb de la viga biempotrada con carga uniforme (la fórmula da 2,38; tope 2,3)</t>
        </is>
      </c>
      <c r="C53" s="17" t="inlineStr"/>
      <c r="D53" s="26">
        <f>$D$42</f>
        <v/>
      </c>
      <c r="E53" s="25" t="n">
        <v>2.3</v>
      </c>
      <c r="F53" s="27">
        <f>E53-D53</f>
        <v/>
      </c>
      <c r="G53" s="28">
        <f>IF(ABS(D53)&gt;0.000000000001,F53/D53,"—")</f>
        <v/>
      </c>
      <c r="H53" s="29" t="n">
        <v>0.0001</v>
      </c>
      <c r="I53" s="30" t="n">
        <v>1e-06</v>
      </c>
      <c r="J53" s="31">
        <f>IF(ABS(F53)&lt;=MAX(H53*ABS(D53),I53),"OK","NO")</f>
        <v/>
      </c>
      <c r="K53" s="17" t="inlineStr">
        <is>
          <t>Fórmula</t>
        </is>
      </c>
      <c r="L53" s="9" t="inlineStr">
        <is>
          <t>Cb4</t>
        </is>
      </c>
      <c r="M53" s="9" t="inlineStr">
        <is>
          <t>Barra 5: coeficiente Cb de la combinación que gobierna</t>
        </is>
      </c>
      <c r="N53" s="9" t="inlineStr"/>
    </row>
    <row r="54" ht="28" customHeight="1">
      <c r="A54" s="17" t="n">
        <v>6</v>
      </c>
      <c r="B54" s="8" t="inlineStr">
        <is>
          <t>φb·Mn de la viga 1 con su Cb</t>
        </is>
      </c>
      <c r="C54" s="17" t="inlineStr">
        <is>
          <t>N·mm</t>
        </is>
      </c>
      <c r="D54" s="27">
        <f>$D$45</f>
        <v/>
      </c>
      <c r="E54" s="35" t="n">
        <v>88401451.20326449</v>
      </c>
      <c r="F54" s="27">
        <f>E54-D54</f>
        <v/>
      </c>
      <c r="G54" s="28">
        <f>IF(ABS(D54)&gt;0.000000000001,F54/D54,"—")</f>
        <v/>
      </c>
      <c r="H54" s="29" t="n">
        <v>0.0001</v>
      </c>
      <c r="I54" s="30" t="n">
        <v>1e-06</v>
      </c>
      <c r="J54" s="31">
        <f>IF(ABS(F54)&lt;=MAX(H54*ABS(D54),I54),"OK","NO")</f>
        <v/>
      </c>
      <c r="K54" s="17" t="inlineStr">
        <is>
          <t>Fórmula</t>
        </is>
      </c>
      <c r="L54" s="9" t="inlineStr">
        <is>
          <t>phiMnCb</t>
        </is>
      </c>
      <c r="M54" s="9" t="inlineStr">
        <is>
          <t>Barra 1: resistencia de diseño φb·Mn usada en la verificación (N·mm)</t>
        </is>
      </c>
      <c r="N54" s="9" t="inlineStr"/>
    </row>
    <row r="56">
      <c r="B56" s="4" t="inlineStr">
        <is>
          <t>Comprobaciones dentro de tolerancia</t>
        </is>
      </c>
      <c r="D56" s="4">
        <f>COUNTIF(J49:J54,"OK")</f>
        <v/>
      </c>
      <c r="E56" s="4">
        <f>ROWS(J49:J54)</f>
        <v/>
      </c>
      <c r="F56" s="4">
        <f>IF(D56=E56,"VERIFICA","DIFIERE")</f>
        <v/>
      </c>
    </row>
    <row r="57">
      <c r="B57" s="2" t="inlineStr">
        <is>
          <t>Azul = dato ingresado o valor que entregó el programa (pegado); negro = fórmula de Excel. El valor «Programa» es el resultado del motor de cálculo de la app para el mismo modelo.</t>
        </is>
      </c>
    </row>
  </sheetData>
  <mergeCells count="2">
    <mergeCell ref="A3:L3"/>
    <mergeCell ref="A4:L4"/>
  </mergeCells>
  <conditionalFormatting sqref="J49:J54">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46.xml><?xml version="1.0" encoding="utf-8"?>
<worksheet xmlns="http://schemas.openxmlformats.org/spreadsheetml/2006/main">
  <sheetPr>
    <outlinePr summaryBelow="1" summaryRight="1"/>
    <pageSetUpPr fitToPage="1"/>
  </sheetPr>
  <dimension ref="A1:N54"/>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N11 · Pandeo local en compresión: columna soldada con alas esbeltas (factor Qs)</t>
        </is>
      </c>
    </row>
    <row r="2">
      <c r="A2" s="2" t="inlineStr">
        <is>
          <t>Fórmulas del Reglamento.  Fuente: Fórmulas del Reglamento CIRSOC 301-2005 / AISC-LRFD 1999 (apéndice B, caps. E y F) recalculadas aparte; no provienen de un ejemplo publicado. Las constantes están escritas de memoria: cotejarlas con el texto del Reglamento antes de usar el resultado para proyecto.</t>
        </is>
      </c>
    </row>
    <row r="3" ht="40.5" customHeight="1">
      <c r="A3" s="14" t="inlineStr">
        <is>
          <t>Enunciado. Columna armada soldada PS (alma 300×8, alas 300×8) de 2,50 m articulada en ambos extremos, comprimida. Las alas (b/t = 18,75) superan el límite λr = 0,64·√(kc·E/Fy) = 15,1 de los elementos no rigidizados de perfiles soldados, de modo que se reduce la resistencia con el factor Qs = 1,415 − 0,65·(b/t)·√(Fy/E)/√kc; el alma (h/tw = 37,5) no es esbelta. Se recalculan Qs, la tensión crítica con Q y la resistencia φc·Pn.</t>
        </is>
      </c>
    </row>
    <row r="4" ht="28" customHeight="1">
      <c r="A4" s="14" t="inlineStr">
        <is>
          <t>Perfil. PS 316×300×8/8 soldada (alma hw = 300, tw = 8; alas 300×8).</t>
        </is>
      </c>
    </row>
    <row r="6">
      <c r="A6" s="22" t="inlineStr">
        <is>
          <t>DATOS DEL EJERCICIO</t>
        </is>
      </c>
      <c r="B6" s="22" t="n"/>
      <c r="C6" s="22" t="n"/>
      <c r="D6" s="22" t="n"/>
      <c r="E6" s="22" t="n"/>
      <c r="F6" s="22" t="n"/>
      <c r="G6" s="22" t="n"/>
      <c r="H6" s="22" t="n"/>
      <c r="I6" s="22" t="n"/>
      <c r="J6" s="22" t="n"/>
      <c r="K6" s="22" t="n"/>
      <c r="L6" s="22" t="n"/>
      <c r="M6" s="22" t="n"/>
      <c r="N6" s="22" t="n"/>
    </row>
    <row r="7">
      <c r="A7" s="5" t="inlineStr">
        <is>
          <t>#</t>
        </is>
      </c>
      <c r="B7" s="5" t="inlineStr">
        <is>
          <t>Dato</t>
        </is>
      </c>
      <c r="C7" s="5" t="inlineStr">
        <is>
          <t>Unidad</t>
        </is>
      </c>
      <c r="D7" s="5" t="inlineStr">
        <is>
          <t>Valor</t>
        </is>
      </c>
      <c r="K7" s="5" t="inlineStr">
        <is>
          <t>Símbolo</t>
        </is>
      </c>
      <c r="L7" s="5" t="inlineStr">
        <is>
          <t>Fórmula (texto)</t>
        </is>
      </c>
    </row>
    <row r="8">
      <c r="A8" s="17" t="n">
        <v>1</v>
      </c>
      <c r="B8" s="8" t="inlineStr">
        <is>
          <t>Módulo elástico</t>
        </is>
      </c>
      <c r="C8" s="17" t="inlineStr">
        <is>
          <t>MPa</t>
        </is>
      </c>
      <c r="D8" s="23" t="n">
        <v>200000</v>
      </c>
      <c r="K8" s="17" t="inlineStr">
        <is>
          <t>E</t>
        </is>
      </c>
      <c r="L8" s="24" t="inlineStr">
        <is>
          <t>dato ingresado</t>
        </is>
      </c>
    </row>
    <row r="9">
      <c r="A9" s="17" t="n">
        <v>2</v>
      </c>
      <c r="B9" s="8" t="inlineStr">
        <is>
          <t>Módulo de corte</t>
        </is>
      </c>
      <c r="C9" s="17" t="inlineStr">
        <is>
          <t>MPa</t>
        </is>
      </c>
      <c r="D9" s="23" t="n">
        <v>77200</v>
      </c>
      <c r="K9" s="17" t="inlineStr">
        <is>
          <t>G</t>
        </is>
      </c>
      <c r="L9" s="24" t="inlineStr">
        <is>
          <t>dato ingresado</t>
        </is>
      </c>
    </row>
    <row r="10">
      <c r="A10" s="17" t="n">
        <v>3</v>
      </c>
      <c r="B10" s="8" t="inlineStr">
        <is>
          <t>Tensión de fluencia</t>
        </is>
      </c>
      <c r="C10" s="17" t="inlineStr">
        <is>
          <t>MPa</t>
        </is>
      </c>
      <c r="D10" s="25" t="n">
        <v>235</v>
      </c>
      <c r="K10" s="17" t="inlineStr">
        <is>
          <t>Fy</t>
        </is>
      </c>
      <c r="L10" s="24" t="inlineStr">
        <is>
          <t>dato ingresado</t>
        </is>
      </c>
    </row>
    <row r="11">
      <c r="A11" s="17" t="n">
        <v>4</v>
      </c>
      <c r="B11" s="8" t="inlineStr">
        <is>
          <t>Longitud (K = 1 en ambos ejes)</t>
        </is>
      </c>
      <c r="C11" s="17" t="inlineStr">
        <is>
          <t>mm</t>
        </is>
      </c>
      <c r="D11" s="23" t="n">
        <v>2500</v>
      </c>
      <c r="K11" s="17" t="inlineStr">
        <is>
          <t>L</t>
        </is>
      </c>
      <c r="L11" s="24" t="inlineStr">
        <is>
          <t>dato ingresado</t>
        </is>
      </c>
    </row>
    <row r="12">
      <c r="A12" s="17" t="n">
        <v>5</v>
      </c>
      <c r="B12" s="8" t="inlineStr">
        <is>
          <t>PS soldada: alto del alma</t>
        </is>
      </c>
      <c r="C12" s="17" t="inlineStr">
        <is>
          <t>mm</t>
        </is>
      </c>
      <c r="D12" s="25" t="n">
        <v>300</v>
      </c>
      <c r="K12" s="17" t="inlineStr">
        <is>
          <t>hw</t>
        </is>
      </c>
      <c r="L12" s="24" t="inlineStr">
        <is>
          <t>dato ingresado</t>
        </is>
      </c>
    </row>
    <row r="13">
      <c r="A13" s="17" t="n">
        <v>6</v>
      </c>
      <c r="B13" s="8" t="inlineStr">
        <is>
          <t>Espesor del alma</t>
        </is>
      </c>
      <c r="C13" s="17" t="inlineStr">
        <is>
          <t>mm</t>
        </is>
      </c>
      <c r="D13" s="25" t="n">
        <v>8</v>
      </c>
      <c r="K13" s="17" t="inlineStr">
        <is>
          <t>tw</t>
        </is>
      </c>
      <c r="L13" s="24" t="inlineStr">
        <is>
          <t>dato ingresado</t>
        </is>
      </c>
    </row>
    <row r="14">
      <c r="A14" s="17" t="n">
        <v>7</v>
      </c>
      <c r="B14" s="8" t="inlineStr">
        <is>
          <t>Ancho de las alas</t>
        </is>
      </c>
      <c r="C14" s="17" t="inlineStr">
        <is>
          <t>mm</t>
        </is>
      </c>
      <c r="D14" s="25" t="n">
        <v>300</v>
      </c>
      <c r="K14" s="17" t="inlineStr">
        <is>
          <t>bf</t>
        </is>
      </c>
      <c r="L14" s="24" t="inlineStr">
        <is>
          <t>dato ingresado</t>
        </is>
      </c>
    </row>
    <row r="15">
      <c r="A15" s="17" t="n">
        <v>8</v>
      </c>
      <c r="B15" s="8" t="inlineStr">
        <is>
          <t>Espesor de las alas</t>
        </is>
      </c>
      <c r="C15" s="17" t="inlineStr">
        <is>
          <t>mm</t>
        </is>
      </c>
      <c r="D15" s="25" t="n">
        <v>8</v>
      </c>
      <c r="K15" s="17" t="inlineStr">
        <is>
          <t>tf</t>
        </is>
      </c>
      <c r="L15" s="24" t="inlineStr">
        <is>
          <t>dato ingresado</t>
        </is>
      </c>
    </row>
    <row r="16">
      <c r="A16" s="17" t="n">
        <v>9</v>
      </c>
      <c r="B16" s="8" t="inlineStr">
        <is>
          <t>Altura total</t>
        </is>
      </c>
      <c r="C16" s="17" t="inlineStr">
        <is>
          <t>mm</t>
        </is>
      </c>
      <c r="D16" s="26">
        <f>$D$12+2*$D$15</f>
        <v/>
      </c>
      <c r="K16" s="17" t="inlineStr">
        <is>
          <t>hh</t>
        </is>
      </c>
      <c r="L16" s="24" t="inlineStr">
        <is>
          <t>valor = hw+2*tf</t>
        </is>
      </c>
    </row>
    <row r="17">
      <c r="A17" s="17" t="n">
        <v>10</v>
      </c>
      <c r="B17" s="8" t="inlineStr">
        <is>
          <t>Área</t>
        </is>
      </c>
      <c r="C17" s="17" t="inlineStr">
        <is>
          <t>mm²</t>
        </is>
      </c>
      <c r="D17" s="38">
        <f>2*$D$14*$D$15+$D$12*$D$13</f>
        <v/>
      </c>
      <c r="K17" s="17" t="inlineStr">
        <is>
          <t>A</t>
        </is>
      </c>
      <c r="L17" s="24" t="inlineStr">
        <is>
          <t>valor = 2*bf*tf+hw*tw</t>
        </is>
      </c>
    </row>
    <row r="18">
      <c r="A18" s="17" t="n">
        <v>11</v>
      </c>
      <c r="B18" s="8" t="inlineStr">
        <is>
          <t>Inercia, eje fuerte</t>
        </is>
      </c>
      <c r="C18" s="17" t="inlineStr">
        <is>
          <t>mm⁴</t>
        </is>
      </c>
      <c r="D18" s="27">
        <f>($D$14*$D$16^3-($D$14-$D$13)*$D$12^3)/12</f>
        <v/>
      </c>
      <c r="K18" s="17" t="inlineStr">
        <is>
          <t>Is</t>
        </is>
      </c>
      <c r="L18" s="24" t="inlineStr">
        <is>
          <t>valor = (bf*hh^3-(bf-tw)*hw^3)/12</t>
        </is>
      </c>
    </row>
    <row r="19">
      <c r="A19" s="17" t="n">
        <v>12</v>
      </c>
      <c r="B19" s="8" t="inlineStr">
        <is>
          <t>Inercia, eje débil</t>
        </is>
      </c>
      <c r="C19" s="17" t="inlineStr">
        <is>
          <t>mm⁴</t>
        </is>
      </c>
      <c r="D19" s="27">
        <f>2*$D$15*$D$14^3/12+$D$12*$D$13^3/12</f>
        <v/>
      </c>
      <c r="K19" s="17" t="inlineStr">
        <is>
          <t>Iw</t>
        </is>
      </c>
      <c r="L19" s="24" t="inlineStr">
        <is>
          <t>valor = 2*tf*bf^3/12+hw*tw^3/12</t>
        </is>
      </c>
    </row>
    <row r="20">
      <c r="A20" s="17" t="n">
        <v>13</v>
      </c>
      <c r="B20" s="8" t="inlineStr">
        <is>
          <t>Módulo resistente fuerte</t>
        </is>
      </c>
      <c r="C20" s="17" t="inlineStr">
        <is>
          <t>mm³</t>
        </is>
      </c>
      <c r="D20" s="38">
        <f>$D$18/($D$16/2)</f>
        <v/>
      </c>
      <c r="K20" s="17" t="inlineStr">
        <is>
          <t>Ss</t>
        </is>
      </c>
      <c r="L20" s="24" t="inlineStr">
        <is>
          <t>valor = Is/(hh/2)</t>
        </is>
      </c>
    </row>
    <row r="21">
      <c r="A21" s="17" t="n">
        <v>14</v>
      </c>
      <c r="B21" s="8" t="inlineStr">
        <is>
          <t>Módulo plástico fuerte</t>
        </is>
      </c>
      <c r="C21" s="17" t="inlineStr">
        <is>
          <t>mm³</t>
        </is>
      </c>
      <c r="D21" s="38">
        <f>$D$14*$D$15*($D$12+$D$15)+$D$13*$D$12^2/4</f>
        <v/>
      </c>
      <c r="K21" s="17" t="inlineStr">
        <is>
          <t>Zs</t>
        </is>
      </c>
      <c r="L21" s="24" t="inlineStr">
        <is>
          <t>valor = bf*tf*(hw+tf)+tw*hw^2/4</t>
        </is>
      </c>
    </row>
    <row r="22">
      <c r="A22" s="17" t="n">
        <v>15</v>
      </c>
      <c r="B22" s="8" t="inlineStr">
        <is>
          <t>Constante de torsión</t>
        </is>
      </c>
      <c r="C22" s="17" t="inlineStr">
        <is>
          <t>mm⁴</t>
        </is>
      </c>
      <c r="D22" s="38">
        <f>(2*$D$14*$D$15^3+$D$12*$D$13^3)/3</f>
        <v/>
      </c>
      <c r="K22" s="17" t="inlineStr">
        <is>
          <t>J</t>
        </is>
      </c>
      <c r="L22" s="24" t="inlineStr">
        <is>
          <t>valor = (2*bf*tf^3+hw*tw^3)/3</t>
        </is>
      </c>
    </row>
    <row r="23">
      <c r="A23" s="17" t="n">
        <v>16</v>
      </c>
      <c r="B23" s="8" t="inlineStr">
        <is>
          <t>Alabeo (alas)</t>
        </is>
      </c>
      <c r="C23" s="17" t="inlineStr">
        <is>
          <t>mm⁶</t>
        </is>
      </c>
      <c r="D23" s="27">
        <f>$D$15*$D$14^3*($D$12+$D$15)^2/24</f>
        <v/>
      </c>
      <c r="K23" s="17" t="inlineStr">
        <is>
          <t>Cw</t>
        </is>
      </c>
      <c r="L23" s="24" t="inlineStr">
        <is>
          <t>valor = tf*bf^3*(hw+tf)^2/24</t>
        </is>
      </c>
    </row>
    <row r="24">
      <c r="A24" s="17" t="n">
        <v>17</v>
      </c>
      <c r="B24" s="8" t="inlineStr">
        <is>
          <t>Radio de giro fuerte</t>
        </is>
      </c>
      <c r="C24" s="17" t="inlineStr">
        <is>
          <t>mm</t>
        </is>
      </c>
      <c r="D24" s="26">
        <f>SQRT($D$18/$D$17)</f>
        <v/>
      </c>
      <c r="K24" s="17" t="inlineStr">
        <is>
          <t>rs</t>
        </is>
      </c>
      <c r="L24" s="24" t="inlineStr">
        <is>
          <t>valor = SQRT(Is/A)</t>
        </is>
      </c>
    </row>
    <row r="25">
      <c r="A25" s="17" t="n">
        <v>18</v>
      </c>
      <c r="B25" s="8" t="inlineStr">
        <is>
          <t>Radio de giro débil</t>
        </is>
      </c>
      <c r="C25" s="17" t="inlineStr">
        <is>
          <t>mm</t>
        </is>
      </c>
      <c r="D25" s="26">
        <f>SQRT($D$19/$D$17)</f>
        <v/>
      </c>
      <c r="K25" s="17" t="inlineStr">
        <is>
          <t>rw</t>
        </is>
      </c>
      <c r="L25" s="24" t="inlineStr">
        <is>
          <t>valor = SQRT(Iw/A)</t>
        </is>
      </c>
    </row>
    <row r="26">
      <c r="A26" s="17" t="n">
        <v>19</v>
      </c>
      <c r="B26" s="8" t="inlineStr">
        <is>
          <t>Radio polar al cuadrado</t>
        </is>
      </c>
      <c r="C26" s="17" t="inlineStr">
        <is>
          <t>mm²</t>
        </is>
      </c>
      <c r="D26" s="38">
        <f>($D$18+$D$19)/$D$17</f>
        <v/>
      </c>
      <c r="K26" s="17" t="inlineStr">
        <is>
          <t>r02</t>
        </is>
      </c>
      <c r="L26" s="24" t="inlineStr">
        <is>
          <t>valor = (Is+Iw)/A</t>
        </is>
      </c>
    </row>
    <row r="27">
      <c r="A27" s="17" t="n">
        <v>20</v>
      </c>
      <c r="B27" s="8" t="inlineStr">
        <is>
          <t>kc = 4/√(h/tw), entre 0,35 y 0,763</t>
        </is>
      </c>
      <c r="C27" s="17" t="inlineStr"/>
      <c r="D27" s="36">
        <f>MIN(0.763,MAX(0.35,4/SQRT($D$12/$D$13)))</f>
        <v/>
      </c>
      <c r="K27" s="17" t="inlineStr">
        <is>
          <t>kc</t>
        </is>
      </c>
      <c r="L27" s="24" t="inlineStr">
        <is>
          <t>valor = MIN(0.763,MAX(0.35,4/SQRT(hw/tw)))</t>
        </is>
      </c>
    </row>
    <row r="28">
      <c r="A28" s="17" t="n">
        <v>21</v>
      </c>
      <c r="B28" s="8" t="inlineStr">
        <is>
          <t>Esbeltez del ala b/t</t>
        </is>
      </c>
      <c r="C28" s="17" t="inlineStr"/>
      <c r="D28" s="26">
        <f>($D$14/2)/$D$15</f>
        <v/>
      </c>
      <c r="K28" s="17" t="inlineStr">
        <is>
          <t>lam</t>
        </is>
      </c>
      <c r="L28" s="24" t="inlineStr">
        <is>
          <t>valor = (bf/2)/tf</t>
        </is>
      </c>
    </row>
    <row r="29">
      <c r="A29" s="17" t="n">
        <v>22</v>
      </c>
      <c r="B29" s="8" t="inlineStr">
        <is>
          <t>Límite λr de elementos no rigidizados soldados</t>
        </is>
      </c>
      <c r="C29" s="17" t="inlineStr"/>
      <c r="D29" s="26">
        <f>0.64*SQRT($D$27*$D$8/$D$10)</f>
        <v/>
      </c>
      <c r="K29" s="17" t="inlineStr">
        <is>
          <t>lamr</t>
        </is>
      </c>
      <c r="L29" s="24" t="inlineStr">
        <is>
          <t>valor = 0.64*SQRT(kc*E/Fy)</t>
        </is>
      </c>
    </row>
    <row r="30">
      <c r="A30" s="17" t="n">
        <v>23</v>
      </c>
      <c r="B30" s="8" t="inlineStr">
        <is>
          <t>Esbeltez reducida</t>
        </is>
      </c>
      <c r="C30" s="17" t="inlineStr"/>
      <c r="D30" s="36">
        <f>$D$28*SQRT($D$10/$D$8)/SQRT($D$27)</f>
        <v/>
      </c>
      <c r="K30" s="17" t="inlineStr">
        <is>
          <t>yq</t>
        </is>
      </c>
      <c r="L30" s="24" t="inlineStr">
        <is>
          <t>valor = lam*SQRT(Fy/E)/SQRT(kc)</t>
        </is>
      </c>
    </row>
    <row r="31">
      <c r="A31" s="17" t="n">
        <v>24</v>
      </c>
      <c r="B31" s="8" t="inlineStr">
        <is>
          <t>Factor Qs</t>
        </is>
      </c>
      <c r="C31" s="17" t="inlineStr"/>
      <c r="D31" s="36">
        <f>IF($D$30&lt;=0.64,1,IF($D$30&lt;=1.17,1.415-0.65*$D$30,0.90/$D$30^2))</f>
        <v/>
      </c>
      <c r="K31" s="17" t="inlineStr">
        <is>
          <t>Qs</t>
        </is>
      </c>
      <c r="L31" s="24" t="inlineStr">
        <is>
          <t>valor = IF(yq&lt;=0.64,1,IF(yq&lt;=1.17,1.415-0.65*yq,0.90/yq^2))</t>
        </is>
      </c>
    </row>
    <row r="32">
      <c r="A32" s="17" t="n">
        <v>25</v>
      </c>
      <c r="B32" s="8" t="inlineStr">
        <is>
          <t>Esbeltez del alma</t>
        </is>
      </c>
      <c r="C32" s="17" t="inlineStr"/>
      <c r="D32" s="26">
        <f>$D$12/$D$13</f>
        <v/>
      </c>
      <c r="K32" s="17" t="inlineStr">
        <is>
          <t>lamw</t>
        </is>
      </c>
      <c r="L32" s="24" t="inlineStr">
        <is>
          <t>valor = hw/tw</t>
        </is>
      </c>
    </row>
    <row r="33">
      <c r="A33" s="17" t="n">
        <v>26</v>
      </c>
      <c r="B33" s="8" t="inlineStr">
        <is>
          <t>Límite del alma rigidizada (no esbelta si λ ≤ λr)</t>
        </is>
      </c>
      <c r="C33" s="17" t="inlineStr"/>
      <c r="D33" s="26">
        <f>1.49*SQRT($D$8/$D$10)</f>
        <v/>
      </c>
      <c r="K33" s="17" t="inlineStr">
        <is>
          <t>lamwr</t>
        </is>
      </c>
      <c r="L33" s="24" t="inlineStr">
        <is>
          <t>valor = 1.49*SQRT(E/Fy)</t>
        </is>
      </c>
    </row>
    <row r="34">
      <c r="A34" s="17" t="n">
        <v>27</v>
      </c>
      <c r="B34" s="8" t="inlineStr">
        <is>
          <t>Tensión de Euler, eje fuerte</t>
        </is>
      </c>
      <c r="C34" s="17" t="inlineStr">
        <is>
          <t>MPa</t>
        </is>
      </c>
      <c r="D34" s="38">
        <f>PI()^2*$D$8/($D$11/$D$24)^2</f>
        <v/>
      </c>
      <c r="K34" s="17" t="inlineStr">
        <is>
          <t>Fes</t>
        </is>
      </c>
      <c r="L34" s="24" t="inlineStr">
        <is>
          <t>valor = PI()^2*E/(L/rs)^2</t>
        </is>
      </c>
    </row>
    <row r="35">
      <c r="A35" s="17" t="n">
        <v>28</v>
      </c>
      <c r="B35" s="8" t="inlineStr">
        <is>
          <t>Tensión de Euler, eje débil</t>
        </is>
      </c>
      <c r="C35" s="17" t="inlineStr">
        <is>
          <t>MPa</t>
        </is>
      </c>
      <c r="D35" s="38">
        <f>PI()^2*$D$8/($D$11/$D$25)^2</f>
        <v/>
      </c>
      <c r="K35" s="17" t="inlineStr">
        <is>
          <t>Few</t>
        </is>
      </c>
      <c r="L35" s="24" t="inlineStr">
        <is>
          <t>valor = PI()^2*E/(L/rw)^2</t>
        </is>
      </c>
    </row>
    <row r="36">
      <c r="A36" s="17" t="n">
        <v>29</v>
      </c>
      <c r="B36" s="8" t="inlineStr">
        <is>
          <t>Tensión de pandeo torsional</t>
        </is>
      </c>
      <c r="C36" s="17" t="inlineStr">
        <is>
          <t>MPa</t>
        </is>
      </c>
      <c r="D36" s="38">
        <f>(PI()^2*$D$8*$D$23/$D$11^2+$D$9*$D$22)/($D$17*$D$26)</f>
        <v/>
      </c>
      <c r="K36" s="17" t="inlineStr">
        <is>
          <t>Fez</t>
        </is>
      </c>
      <c r="L36" s="24" t="inlineStr">
        <is>
          <t>valor = (PI()^2*E*Cw/L^2+G*J)/(A*r02)</t>
        </is>
      </c>
    </row>
    <row r="37">
      <c r="A37" s="17" t="n">
        <v>30</v>
      </c>
      <c r="B37" s="8" t="inlineStr">
        <is>
          <t>Tensión elástica crítica</t>
        </is>
      </c>
      <c r="C37" s="17" t="inlineStr">
        <is>
          <t>MPa</t>
        </is>
      </c>
      <c r="D37" s="38">
        <f>MIN($D$34,$D$35,$D$36)</f>
        <v/>
      </c>
      <c r="K37" s="17" t="inlineStr">
        <is>
          <t>Fe</t>
        </is>
      </c>
      <c r="L37" s="24" t="inlineStr">
        <is>
          <t>valor = MIN(Fes,Few,Fez)</t>
        </is>
      </c>
    </row>
    <row r="38">
      <c r="A38" s="17" t="n">
        <v>31</v>
      </c>
      <c r="B38" s="8" t="inlineStr">
        <is>
          <t>Tensión crítica con Q = Qs</t>
        </is>
      </c>
      <c r="C38" s="17" t="inlineStr">
        <is>
          <t>MPa</t>
        </is>
      </c>
      <c r="D38" s="26">
        <f>IF($D$31*$D$10/$D$37&lt;=2.25,$D$31*0.658^($D$31*$D$10/$D$37)*$D$10,0.877*$D$37)</f>
        <v/>
      </c>
      <c r="K38" s="17" t="inlineStr">
        <is>
          <t>Fcr</t>
        </is>
      </c>
      <c r="L38" s="24" t="inlineStr">
        <is>
          <t>valor = IF(Qs*Fy/Fe&lt;=2.25,Qs*0.658^(Qs*Fy/Fe)*Fy,0.877*Fe)</t>
        </is>
      </c>
    </row>
    <row r="39">
      <c r="A39" s="17" t="n">
        <v>32</v>
      </c>
      <c r="B39" s="8" t="inlineStr">
        <is>
          <t>Resistencia φc·Pn</t>
        </is>
      </c>
      <c r="C39" s="17" t="inlineStr">
        <is>
          <t>kN</t>
        </is>
      </c>
      <c r="D39" s="38">
        <f>0.85*$D$17*$D$38/1000</f>
        <v/>
      </c>
      <c r="K39" s="17" t="inlineStr">
        <is>
          <t>phiPc</t>
        </is>
      </c>
      <c r="L39" s="24" t="inlineStr">
        <is>
          <t>valor = 0.85*A*Fcr/1000</t>
        </is>
      </c>
    </row>
    <row r="40">
      <c r="A40" s="17" t="n">
        <v>33</v>
      </c>
      <c r="B40" s="8" t="inlineStr">
        <is>
          <t>Resistencia sin reducir por pandeo local (Q = 1), para comparar</t>
        </is>
      </c>
      <c r="C40" s="17" t="inlineStr">
        <is>
          <t>kN</t>
        </is>
      </c>
      <c r="D40" s="38">
        <f>0.85*$D$17*IF($D$10/$D$37&lt;=2.25,0.658^($D$10/$D$37)*$D$10,0.877*$D$37)/1000</f>
        <v/>
      </c>
      <c r="K40" s="17" t="inlineStr">
        <is>
          <t>phiPc1</t>
        </is>
      </c>
      <c r="L40" s="24" t="inlineStr">
        <is>
          <t>valor = 0.85*A*IF(Fy/Fe&lt;=2.25,0.658^(Fy/Fe)*Fy,0.877*Fe)/1000</t>
        </is>
      </c>
    </row>
    <row r="42">
      <c r="A42" s="22" t="inlineStr">
        <is>
          <t>COMPARACIÓN: TEORÍA / DATO PUBLICADO  vs  PROGRAMA (Atlas Estructuras 3D)</t>
        </is>
      </c>
      <c r="B42" s="22" t="n"/>
      <c r="C42" s="22" t="n"/>
      <c r="D42" s="22" t="n"/>
      <c r="E42" s="22" t="n"/>
      <c r="F42" s="22" t="n"/>
      <c r="G42" s="22" t="n"/>
      <c r="H42" s="22" t="n"/>
      <c r="I42" s="22" t="n"/>
      <c r="J42" s="22" t="n"/>
      <c r="K42" s="22" t="n"/>
      <c r="L42" s="22" t="n"/>
      <c r="M42" s="22" t="n"/>
      <c r="N42" s="22" t="n"/>
    </row>
    <row r="43" ht="30" customHeight="1">
      <c r="A43" s="5" t="inlineStr">
        <is>
          <t>#</t>
        </is>
      </c>
      <c r="B43" s="5" t="inlineStr">
        <is>
          <t>Comprobación</t>
        </is>
      </c>
      <c r="C43" s="5" t="inlineStr">
        <is>
          <t>Unidad</t>
        </is>
      </c>
      <c r="D43" s="5" t="inlineStr">
        <is>
          <t>Teoría / publicado</t>
        </is>
      </c>
      <c r="E43" s="5" t="inlineStr">
        <is>
          <t>Programa</t>
        </is>
      </c>
      <c r="F43" s="5" t="inlineStr">
        <is>
          <t>Diferencia (prog. − teoría)</t>
        </is>
      </c>
      <c r="G43" s="5" t="inlineStr">
        <is>
          <t>Error relativo</t>
        </is>
      </c>
      <c r="H43" s="5" t="inlineStr">
        <is>
          <t>Tol. relativa</t>
        </is>
      </c>
      <c r="I43" s="5" t="inlineStr">
        <is>
          <t>Tol. absoluta</t>
        </is>
      </c>
      <c r="J43" s="5" t="inlineStr">
        <is>
          <t>Estado</t>
        </is>
      </c>
      <c r="K43" s="5" t="inlineStr">
        <is>
          <t>Origen</t>
        </is>
      </c>
      <c r="L43" s="5" t="inlineStr">
        <is>
          <t>Expresión de la teoría (texto)</t>
        </is>
      </c>
      <c r="M43" s="5" t="inlineStr">
        <is>
          <t>Dónde se lee en el programa</t>
        </is>
      </c>
      <c r="N43" s="5" t="inlineStr">
        <is>
          <t>Nota</t>
        </is>
      </c>
    </row>
    <row r="44" ht="28" customHeight="1">
      <c r="A44" s="17" t="n">
        <v>1</v>
      </c>
      <c r="B44" s="8" t="inlineStr">
        <is>
          <t>Factor Qs de las alas (soldadas, no rigidizadas)</t>
        </is>
      </c>
      <c r="C44" s="17" t="inlineStr"/>
      <c r="D44" s="36">
        <f>$D$31</f>
        <v/>
      </c>
      <c r="E44" s="37" t="n">
        <v>0.8980942261455194</v>
      </c>
      <c r="F44" s="27">
        <f>E44-D44</f>
        <v/>
      </c>
      <c r="G44" s="28">
        <f>IF(ABS(D44)&gt;0.000000000001,F44/D44,"—")</f>
        <v/>
      </c>
      <c r="H44" s="29" t="n">
        <v>0.0001</v>
      </c>
      <c r="I44" s="30" t="n">
        <v>1e-06</v>
      </c>
      <c r="J44" s="31">
        <f>IF(ABS(F44)&lt;=MAX(H44*ABS(D44),I44),"OK","NO")</f>
        <v/>
      </c>
      <c r="K44" s="17" t="inlineStr">
        <is>
          <t>Fórmula</t>
        </is>
      </c>
      <c r="L44" s="9" t="inlineStr">
        <is>
          <t>Qs</t>
        </is>
      </c>
      <c r="M44" s="9" t="inlineStr">
        <is>
          <t>Barra 1: factor Qs (elementos no rigidizados) (verificación de perfiles)</t>
        </is>
      </c>
      <c r="N44" s="9" t="inlineStr"/>
    </row>
    <row r="45" ht="16" customHeight="1">
      <c r="A45" s="17" t="n">
        <v>2</v>
      </c>
      <c r="B45" s="8" t="inlineStr">
        <is>
          <t>Factor Q de la sección (el alma no es esbelta: Qa = 1)</t>
        </is>
      </c>
      <c r="C45" s="17" t="inlineStr"/>
      <c r="D45" s="36">
        <f>$D$31</f>
        <v/>
      </c>
      <c r="E45" s="37" t="n">
        <v>0.8980942261455194</v>
      </c>
      <c r="F45" s="27">
        <f>E45-D45</f>
        <v/>
      </c>
      <c r="G45" s="28">
        <f>IF(ABS(D45)&gt;0.000000000001,F45/D45,"—")</f>
        <v/>
      </c>
      <c r="H45" s="29" t="n">
        <v>0.0001</v>
      </c>
      <c r="I45" s="30" t="n">
        <v>1e-06</v>
      </c>
      <c r="J45" s="31">
        <f>IF(ABS(F45)&lt;=MAX(H45*ABS(D45),I45),"OK","NO")</f>
        <v/>
      </c>
      <c r="K45" s="17" t="inlineStr">
        <is>
          <t>Fórmula</t>
        </is>
      </c>
      <c r="L45" s="9" t="inlineStr">
        <is>
          <t>Qs</t>
        </is>
      </c>
      <c r="M45" s="9" t="inlineStr">
        <is>
          <t>Barra 1: factor de pandeo local Q (verificación de perfiles)</t>
        </is>
      </c>
      <c r="N45" s="9" t="inlineStr"/>
    </row>
    <row r="46" ht="28" customHeight="1">
      <c r="A46" s="17" t="n">
        <v>3</v>
      </c>
      <c r="B46" s="8" t="inlineStr">
        <is>
          <t>Esbeltez del ala b/t</t>
        </is>
      </c>
      <c r="C46" s="17" t="inlineStr"/>
      <c r="D46" s="26">
        <f>$D$28</f>
        <v/>
      </c>
      <c r="E46" s="25" t="n">
        <v>18.75</v>
      </c>
      <c r="F46" s="27">
        <f>E46-D46</f>
        <v/>
      </c>
      <c r="G46" s="28">
        <f>IF(ABS(D46)&gt;0.000000000001,F46/D46,"—")</f>
        <v/>
      </c>
      <c r="H46" s="29" t="n">
        <v>0.0001</v>
      </c>
      <c r="I46" s="30" t="n">
        <v>1e-06</v>
      </c>
      <c r="J46" s="31">
        <f>IF(ABS(F46)&lt;=MAX(H46*ABS(D46),I46),"OK","NO")</f>
        <v/>
      </c>
      <c r="K46" s="17" t="inlineStr">
        <is>
          <t>Fórmula</t>
        </is>
      </c>
      <c r="L46" s="9" t="inlineStr">
        <is>
          <t>lam</t>
        </is>
      </c>
      <c r="M46" s="9" t="inlineStr">
        <is>
          <t>Barra 1: elemento n.º 1 de la sección en compresión (esbeltez b/t)</t>
        </is>
      </c>
      <c r="N46" s="9" t="inlineStr"/>
    </row>
    <row r="47" ht="28" customHeight="1">
      <c r="A47" s="17" t="n">
        <v>4</v>
      </c>
      <c r="B47" s="8" t="inlineStr">
        <is>
          <t>Límite λr del ala (elemento no rigidizado soldado)</t>
        </is>
      </c>
      <c r="C47" s="17" t="inlineStr"/>
      <c r="D47" s="26">
        <f>$D$29</f>
        <v/>
      </c>
      <c r="E47" s="25" t="n">
        <v>15.08979081784421</v>
      </c>
      <c r="F47" s="27">
        <f>E47-D47</f>
        <v/>
      </c>
      <c r="G47" s="28">
        <f>IF(ABS(D47)&gt;0.000000000001,F47/D47,"—")</f>
        <v/>
      </c>
      <c r="H47" s="29" t="n">
        <v>0.0001</v>
      </c>
      <c r="I47" s="30" t="n">
        <v>1e-06</v>
      </c>
      <c r="J47" s="31">
        <f>IF(ABS(F47)&lt;=MAX(H47*ABS(D47),I47),"OK","NO")</f>
        <v/>
      </c>
      <c r="K47" s="17" t="inlineStr">
        <is>
          <t>Fórmula</t>
        </is>
      </c>
      <c r="L47" s="9" t="inlineStr">
        <is>
          <t>lamr</t>
        </is>
      </c>
      <c r="M47" s="9" t="inlineStr">
        <is>
          <t>Barra 1: elemento n.º 1 de la sección en compresión (límite de esbeltez λr)</t>
        </is>
      </c>
      <c r="N47" s="9" t="inlineStr"/>
    </row>
    <row r="48" ht="28" customHeight="1">
      <c r="A48" s="17" t="n">
        <v>5</v>
      </c>
      <c r="B48" s="8" t="inlineStr">
        <is>
          <t>Límite de esbeltez del alma (elemento rigidizado)</t>
        </is>
      </c>
      <c r="C48" s="17" t="inlineStr"/>
      <c r="D48" s="26">
        <f>$D$33</f>
        <v/>
      </c>
      <c r="E48" s="25" t="n">
        <v>43.46776746637258</v>
      </c>
      <c r="F48" s="27">
        <f>E48-D48</f>
        <v/>
      </c>
      <c r="G48" s="28">
        <f>IF(ABS(D48)&gt;0.000000000001,F48/D48,"—")</f>
        <v/>
      </c>
      <c r="H48" s="29" t="n">
        <v>0.0001</v>
      </c>
      <c r="I48" s="30" t="n">
        <v>1e-06</v>
      </c>
      <c r="J48" s="31">
        <f>IF(ABS(F48)&lt;=MAX(H48*ABS(D48),I48),"OK","NO")</f>
        <v/>
      </c>
      <c r="K48" s="17" t="inlineStr">
        <is>
          <t>Fórmula</t>
        </is>
      </c>
      <c r="L48" s="9" t="inlineStr">
        <is>
          <t>lamwr</t>
        </is>
      </c>
      <c r="M48" s="9" t="inlineStr">
        <is>
          <t>Barra 1: elemento n.º 3 de la sección en compresión (límite de esbeltez λr)</t>
        </is>
      </c>
      <c r="N48" s="9" t="inlineStr"/>
    </row>
    <row r="49" ht="28" customHeight="1">
      <c r="A49" s="17" t="n">
        <v>6</v>
      </c>
      <c r="B49" s="8" t="inlineStr">
        <is>
          <t>Tensión elástica crítica Fe</t>
        </is>
      </c>
      <c r="C49" s="17" t="inlineStr">
        <is>
          <t>MPa</t>
        </is>
      </c>
      <c r="D49" s="38">
        <f>$D$37</f>
        <v/>
      </c>
      <c r="E49" s="23" t="n">
        <v>1579.698175002447</v>
      </c>
      <c r="F49" s="27">
        <f>E49-D49</f>
        <v/>
      </c>
      <c r="G49" s="28">
        <f>IF(ABS(D49)&gt;0.000000000001,F49/D49,"—")</f>
        <v/>
      </c>
      <c r="H49" s="29" t="n">
        <v>0.0001</v>
      </c>
      <c r="I49" s="30" t="n">
        <v>1e-06</v>
      </c>
      <c r="J49" s="31">
        <f>IF(ABS(F49)&lt;=MAX(H49*ABS(D49),I49),"OK","NO")</f>
        <v/>
      </c>
      <c r="K49" s="17" t="inlineStr">
        <is>
          <t>Fórmula</t>
        </is>
      </c>
      <c r="L49" s="9" t="inlineStr">
        <is>
          <t>Fe</t>
        </is>
      </c>
      <c r="M49" s="9" t="inlineStr">
        <is>
          <t>Barra 1: tensión elástica crítica Fe (verificación de perfiles)</t>
        </is>
      </c>
      <c r="N49" s="9" t="inlineStr"/>
    </row>
    <row r="50" ht="16" customHeight="1">
      <c r="A50" s="17" t="n">
        <v>7</v>
      </c>
      <c r="B50" s="8" t="inlineStr">
        <is>
          <t>Tensión crítica Fcr con Q = Qs</t>
        </is>
      </c>
      <c r="C50" s="17" t="inlineStr">
        <is>
          <t>MPa</t>
        </is>
      </c>
      <c r="D50" s="26">
        <f>$D$38</f>
        <v/>
      </c>
      <c r="E50" s="25" t="n">
        <v>199.5741241320881</v>
      </c>
      <c r="F50" s="27">
        <f>E50-D50</f>
        <v/>
      </c>
      <c r="G50" s="28">
        <f>IF(ABS(D50)&gt;0.000000000001,F50/D50,"—")</f>
        <v/>
      </c>
      <c r="H50" s="29" t="n">
        <v>0.0001</v>
      </c>
      <c r="I50" s="30" t="n">
        <v>1e-06</v>
      </c>
      <c r="J50" s="31">
        <f>IF(ABS(F50)&lt;=MAX(H50*ABS(D50),I50),"OK","NO")</f>
        <v/>
      </c>
      <c r="K50" s="17" t="inlineStr">
        <is>
          <t>Fórmula</t>
        </is>
      </c>
      <c r="L50" s="9" t="inlineStr">
        <is>
          <t>Fcr</t>
        </is>
      </c>
      <c r="M50" s="9" t="inlineStr">
        <is>
          <t>Barra 1: tensión crítica Fcr (verificación de perfiles)</t>
        </is>
      </c>
      <c r="N50" s="9" t="inlineStr"/>
    </row>
    <row r="51" ht="16" customHeight="1">
      <c r="A51" s="17" t="n">
        <v>8</v>
      </c>
      <c r="B51" s="8" t="inlineStr">
        <is>
          <t>Resistencia de diseño φc·Pn con pandeo local</t>
        </is>
      </c>
      <c r="C51" s="17" t="inlineStr">
        <is>
          <t>kN</t>
        </is>
      </c>
      <c r="D51" s="38">
        <f>$D$39</f>
        <v/>
      </c>
      <c r="E51" s="23" t="n">
        <v>1221.393639688379</v>
      </c>
      <c r="F51" s="27">
        <f>E51-D51</f>
        <v/>
      </c>
      <c r="G51" s="28">
        <f>IF(ABS(D51)&gt;0.000000000001,F51/D51,"—")</f>
        <v/>
      </c>
      <c r="H51" s="29" t="n">
        <v>0.0001</v>
      </c>
      <c r="I51" s="30" t="n">
        <v>1e-06</v>
      </c>
      <c r="J51" s="31">
        <f>IF(ABS(F51)&lt;=MAX(H51*ABS(D51),I51),"OK","NO")</f>
        <v/>
      </c>
      <c r="K51" s="17" t="inlineStr">
        <is>
          <t>Fórmula</t>
        </is>
      </c>
      <c r="L51" s="9" t="inlineStr">
        <is>
          <t>phiPc</t>
        </is>
      </c>
      <c r="M51" s="9" t="inlineStr">
        <is>
          <t>Barra 1: φc·Pn compresión (verificación de perfiles)</t>
        </is>
      </c>
      <c r="N51" s="9" t="inlineStr"/>
    </row>
    <row r="53">
      <c r="B53" s="4" t="inlineStr">
        <is>
          <t>Comprobaciones dentro de tolerancia</t>
        </is>
      </c>
      <c r="D53" s="4">
        <f>COUNTIF(J44:J51,"OK")</f>
        <v/>
      </c>
      <c r="E53" s="4">
        <f>ROWS(J44:J51)</f>
        <v/>
      </c>
      <c r="F53" s="4">
        <f>IF(D53=E53,"VERIFICA","DIFIERE")</f>
        <v/>
      </c>
    </row>
    <row r="54">
      <c r="B54" s="2" t="inlineStr">
        <is>
          <t>Azul = dato ingresado o valor que entregó el programa (pegado); negro = fórmula de Excel. El valor «Programa» es el resultado del motor de cálculo de la app para el mismo modelo.</t>
        </is>
      </c>
    </row>
  </sheetData>
  <mergeCells count="2">
    <mergeCell ref="A3:L3"/>
    <mergeCell ref="A4:L4"/>
  </mergeCells>
  <conditionalFormatting sqref="J44:J51">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47.xml><?xml version="1.0" encoding="utf-8"?>
<worksheet xmlns="http://schemas.openxmlformats.org/spreadsheetml/2006/main">
  <sheetPr>
    <outlinePr summaryBelow="1" summaryRight="1"/>
    <pageSetUpPr fitToPage="1"/>
  </sheetPr>
  <dimension ref="A1:N63"/>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N12 · Flexión de viga soldada: ala no compacta y pandeo lateral-torsional</t>
        </is>
      </c>
    </row>
    <row r="2">
      <c r="A2" s="2" t="inlineStr">
        <is>
          <t>Fórmulas del Reglamento.  Fuente: Fórmulas del Reglamento CIRSOC 301-2005 / AISC-LRFD 1999 (apéndice B, caps. E y F) recalculadas aparte; no provienen de un ejemplo publicado. Las constantes están escritas de memoria: cotejarlas con el texto del Reglamento antes de usar el resultado para proyecto.</t>
        </is>
      </c>
    </row>
    <row r="3" ht="54" customHeight="1">
      <c r="A3" s="14" t="inlineStr">
        <is>
          <t>Enunciado. Viga armada soldada PS (alma 400×8, alas 300×7,5), simétrica, con alma compacta (h/tw = 50) y alas no compactas (b/t = 20, entre λp = 11,1 y λr ≈ 29). Con Lb = 3,00 m (menor que Lp) rige el pandeo local del ala: Mn = Mp − (Mp − Mr)·(λ − λp)/(λr − λp), con FL = Fy − 114 MPa, kc = 4/√(h/tw) y Mr = FL·Sxc. Con Lb = 9,00 m (entre Lp ≈ 3,4 m y Lr ≈ 11,2 m) rige el pandeo lateral-torsional inelástico (Cb = 1), más desfavorable que el pandeo local del ala. Se recalculan los límites Lp y Lr y φb·Mn.</t>
        </is>
      </c>
    </row>
    <row r="4" ht="28" customHeight="1">
      <c r="A4" s="14" t="inlineStr">
        <is>
          <t>Perfil. PS 415×300×7,5/8 soldada (alma hw = 400, tw = 8; alas 300×7,5).</t>
        </is>
      </c>
    </row>
    <row r="6">
      <c r="A6" s="22" t="inlineStr">
        <is>
          <t>DATOS DEL EJERCICIO</t>
        </is>
      </c>
      <c r="B6" s="22" t="n"/>
      <c r="C6" s="22" t="n"/>
      <c r="D6" s="22" t="n"/>
      <c r="E6" s="22" t="n"/>
      <c r="F6" s="22" t="n"/>
      <c r="G6" s="22" t="n"/>
      <c r="H6" s="22" t="n"/>
      <c r="I6" s="22" t="n"/>
      <c r="J6" s="22" t="n"/>
      <c r="K6" s="22" t="n"/>
      <c r="L6" s="22" t="n"/>
      <c r="M6" s="22" t="n"/>
      <c r="N6" s="22" t="n"/>
    </row>
    <row r="7">
      <c r="A7" s="5" t="inlineStr">
        <is>
          <t>#</t>
        </is>
      </c>
      <c r="B7" s="5" t="inlineStr">
        <is>
          <t>Dato</t>
        </is>
      </c>
      <c r="C7" s="5" t="inlineStr">
        <is>
          <t>Unidad</t>
        </is>
      </c>
      <c r="D7" s="5" t="inlineStr">
        <is>
          <t>Valor</t>
        </is>
      </c>
      <c r="K7" s="5" t="inlineStr">
        <is>
          <t>Símbolo</t>
        </is>
      </c>
      <c r="L7" s="5" t="inlineStr">
        <is>
          <t>Fórmula (texto)</t>
        </is>
      </c>
    </row>
    <row r="8">
      <c r="A8" s="17" t="n">
        <v>1</v>
      </c>
      <c r="B8" s="8" t="inlineStr">
        <is>
          <t>Módulo elástico</t>
        </is>
      </c>
      <c r="C8" s="17" t="inlineStr">
        <is>
          <t>MPa</t>
        </is>
      </c>
      <c r="D8" s="23" t="n">
        <v>200000</v>
      </c>
      <c r="K8" s="17" t="inlineStr">
        <is>
          <t>E</t>
        </is>
      </c>
      <c r="L8" s="24" t="inlineStr">
        <is>
          <t>dato ingresado</t>
        </is>
      </c>
    </row>
    <row r="9">
      <c r="A9" s="17" t="n">
        <v>2</v>
      </c>
      <c r="B9" s="8" t="inlineStr">
        <is>
          <t>Módulo de corte</t>
        </is>
      </c>
      <c r="C9" s="17" t="inlineStr">
        <is>
          <t>MPa</t>
        </is>
      </c>
      <c r="D9" s="23" t="n">
        <v>77200</v>
      </c>
      <c r="K9" s="17" t="inlineStr">
        <is>
          <t>G</t>
        </is>
      </c>
      <c r="L9" s="24" t="inlineStr">
        <is>
          <t>dato ingresado</t>
        </is>
      </c>
    </row>
    <row r="10">
      <c r="A10" s="17" t="n">
        <v>3</v>
      </c>
      <c r="B10" s="8" t="inlineStr">
        <is>
          <t>Tensión de fluencia</t>
        </is>
      </c>
      <c r="C10" s="17" t="inlineStr">
        <is>
          <t>MPa</t>
        </is>
      </c>
      <c r="D10" s="25" t="n">
        <v>235</v>
      </c>
      <c r="K10" s="17" t="inlineStr">
        <is>
          <t>Fy</t>
        </is>
      </c>
      <c r="L10" s="24" t="inlineStr">
        <is>
          <t>dato ingresado</t>
        </is>
      </c>
    </row>
    <row r="11">
      <c r="A11" s="17" t="n">
        <v>4</v>
      </c>
      <c r="B11" s="8" t="inlineStr">
        <is>
          <t>PS soldada: alto del alma</t>
        </is>
      </c>
      <c r="C11" s="17" t="inlineStr">
        <is>
          <t>mm</t>
        </is>
      </c>
      <c r="D11" s="25" t="n">
        <v>400</v>
      </c>
      <c r="K11" s="17" t="inlineStr">
        <is>
          <t>hw</t>
        </is>
      </c>
      <c r="L11" s="24" t="inlineStr">
        <is>
          <t>dato ingresado</t>
        </is>
      </c>
    </row>
    <row r="12">
      <c r="A12" s="17" t="n">
        <v>5</v>
      </c>
      <c r="B12" s="8" t="inlineStr">
        <is>
          <t>Espesor del alma</t>
        </is>
      </c>
      <c r="C12" s="17" t="inlineStr">
        <is>
          <t>mm</t>
        </is>
      </c>
      <c r="D12" s="25" t="n">
        <v>8</v>
      </c>
      <c r="K12" s="17" t="inlineStr">
        <is>
          <t>tw</t>
        </is>
      </c>
      <c r="L12" s="24" t="inlineStr">
        <is>
          <t>dato ingresado</t>
        </is>
      </c>
    </row>
    <row r="13">
      <c r="A13" s="17" t="n">
        <v>6</v>
      </c>
      <c r="B13" s="8" t="inlineStr">
        <is>
          <t>Ancho de las alas</t>
        </is>
      </c>
      <c r="C13" s="17" t="inlineStr">
        <is>
          <t>mm</t>
        </is>
      </c>
      <c r="D13" s="25" t="n">
        <v>300</v>
      </c>
      <c r="K13" s="17" t="inlineStr">
        <is>
          <t>bf</t>
        </is>
      </c>
      <c r="L13" s="24" t="inlineStr">
        <is>
          <t>dato ingresado</t>
        </is>
      </c>
    </row>
    <row r="14">
      <c r="A14" s="17" t="n">
        <v>7</v>
      </c>
      <c r="B14" s="8" t="inlineStr">
        <is>
          <t>Espesor de las alas</t>
        </is>
      </c>
      <c r="C14" s="17" t="inlineStr">
        <is>
          <t>mm</t>
        </is>
      </c>
      <c r="D14" s="25" t="n">
        <v>7.5</v>
      </c>
      <c r="K14" s="17" t="inlineStr">
        <is>
          <t>tf</t>
        </is>
      </c>
      <c r="L14" s="24" t="inlineStr">
        <is>
          <t>dato ingresado</t>
        </is>
      </c>
    </row>
    <row r="15">
      <c r="A15" s="17" t="n">
        <v>8</v>
      </c>
      <c r="B15" s="8" t="inlineStr">
        <is>
          <t>Altura total</t>
        </is>
      </c>
      <c r="C15" s="17" t="inlineStr">
        <is>
          <t>mm</t>
        </is>
      </c>
      <c r="D15" s="26">
        <f>$D$11+2*$D$14</f>
        <v/>
      </c>
      <c r="K15" s="17" t="inlineStr">
        <is>
          <t>hh</t>
        </is>
      </c>
      <c r="L15" s="24" t="inlineStr">
        <is>
          <t>valor = hw+2*tf</t>
        </is>
      </c>
    </row>
    <row r="16">
      <c r="A16" s="17" t="n">
        <v>9</v>
      </c>
      <c r="B16" s="8" t="inlineStr">
        <is>
          <t>Área</t>
        </is>
      </c>
      <c r="C16" s="17" t="inlineStr">
        <is>
          <t>mm²</t>
        </is>
      </c>
      <c r="D16" s="38">
        <f>2*$D$13*$D$14+$D$11*$D$12</f>
        <v/>
      </c>
      <c r="K16" s="17" t="inlineStr">
        <is>
          <t>A</t>
        </is>
      </c>
      <c r="L16" s="24" t="inlineStr">
        <is>
          <t>valor = 2*bf*tf+hw*tw</t>
        </is>
      </c>
    </row>
    <row r="17">
      <c r="A17" s="17" t="n">
        <v>10</v>
      </c>
      <c r="B17" s="8" t="inlineStr">
        <is>
          <t>Inercia, eje fuerte</t>
        </is>
      </c>
      <c r="C17" s="17" t="inlineStr">
        <is>
          <t>mm⁴</t>
        </is>
      </c>
      <c r="D17" s="27">
        <f>($D$13*$D$15^3-($D$13-$D$12)*$D$11^3)/12</f>
        <v/>
      </c>
      <c r="K17" s="17" t="inlineStr">
        <is>
          <t>Is</t>
        </is>
      </c>
      <c r="L17" s="24" t="inlineStr">
        <is>
          <t>valor = (bf*hh^3-(bf-tw)*hw^3)/12</t>
        </is>
      </c>
    </row>
    <row r="18">
      <c r="A18" s="17" t="n">
        <v>11</v>
      </c>
      <c r="B18" s="8" t="inlineStr">
        <is>
          <t>Inercia, eje débil</t>
        </is>
      </c>
      <c r="C18" s="17" t="inlineStr">
        <is>
          <t>mm⁴</t>
        </is>
      </c>
      <c r="D18" s="27">
        <f>2*$D$14*$D$13^3/12+$D$11*$D$12^3/12</f>
        <v/>
      </c>
      <c r="K18" s="17" t="inlineStr">
        <is>
          <t>Iw</t>
        </is>
      </c>
      <c r="L18" s="24" t="inlineStr">
        <is>
          <t>valor = 2*tf*bf^3/12+hw*tw^3/12</t>
        </is>
      </c>
    </row>
    <row r="19">
      <c r="A19" s="17" t="n">
        <v>12</v>
      </c>
      <c r="B19" s="8" t="inlineStr">
        <is>
          <t>Módulo resistente fuerte</t>
        </is>
      </c>
      <c r="C19" s="17" t="inlineStr">
        <is>
          <t>mm³</t>
        </is>
      </c>
      <c r="D19" s="38">
        <f>$D$17/($D$15/2)</f>
        <v/>
      </c>
      <c r="K19" s="17" t="inlineStr">
        <is>
          <t>Ss</t>
        </is>
      </c>
      <c r="L19" s="24" t="inlineStr">
        <is>
          <t>valor = Is/(hh/2)</t>
        </is>
      </c>
    </row>
    <row r="20">
      <c r="A20" s="17" t="n">
        <v>13</v>
      </c>
      <c r="B20" s="8" t="inlineStr">
        <is>
          <t>Módulo plástico fuerte</t>
        </is>
      </c>
      <c r="C20" s="17" t="inlineStr">
        <is>
          <t>mm³</t>
        </is>
      </c>
      <c r="D20" s="38">
        <f>$D$13*$D$14*($D$11+$D$14)+$D$12*$D$11^2/4</f>
        <v/>
      </c>
      <c r="K20" s="17" t="inlineStr">
        <is>
          <t>Zs</t>
        </is>
      </c>
      <c r="L20" s="24" t="inlineStr">
        <is>
          <t>valor = bf*tf*(hw+tf)+tw*hw^2/4</t>
        </is>
      </c>
    </row>
    <row r="21">
      <c r="A21" s="17" t="n">
        <v>14</v>
      </c>
      <c r="B21" s="8" t="inlineStr">
        <is>
          <t>Constante de torsión</t>
        </is>
      </c>
      <c r="C21" s="17" t="inlineStr">
        <is>
          <t>mm⁴</t>
        </is>
      </c>
      <c r="D21" s="38">
        <f>(2*$D$13*$D$14^3+$D$11*$D$12^3)/3</f>
        <v/>
      </c>
      <c r="K21" s="17" t="inlineStr">
        <is>
          <t>J</t>
        </is>
      </c>
      <c r="L21" s="24" t="inlineStr">
        <is>
          <t>valor = (2*bf*tf^3+hw*tw^3)/3</t>
        </is>
      </c>
    </row>
    <row r="22">
      <c r="A22" s="17" t="n">
        <v>15</v>
      </c>
      <c r="B22" s="8" t="inlineStr">
        <is>
          <t>Alabeo (alas)</t>
        </is>
      </c>
      <c r="C22" s="17" t="inlineStr">
        <is>
          <t>mm⁶</t>
        </is>
      </c>
      <c r="D22" s="27">
        <f>$D$14*$D$13^3*($D$11+$D$14)^2/24</f>
        <v/>
      </c>
      <c r="K22" s="17" t="inlineStr">
        <is>
          <t>Cw</t>
        </is>
      </c>
      <c r="L22" s="24" t="inlineStr">
        <is>
          <t>valor = tf*bf^3*(hw+tf)^2/24</t>
        </is>
      </c>
    </row>
    <row r="23">
      <c r="A23" s="17" t="n">
        <v>16</v>
      </c>
      <c r="B23" s="8" t="inlineStr">
        <is>
          <t>Radio de giro fuerte</t>
        </is>
      </c>
      <c r="C23" s="17" t="inlineStr">
        <is>
          <t>mm</t>
        </is>
      </c>
      <c r="D23" s="26">
        <f>SQRT($D$17/$D$16)</f>
        <v/>
      </c>
      <c r="K23" s="17" t="inlineStr">
        <is>
          <t>rs</t>
        </is>
      </c>
      <c r="L23" s="24" t="inlineStr">
        <is>
          <t>valor = SQRT(Is/A)</t>
        </is>
      </c>
    </row>
    <row r="24">
      <c r="A24" s="17" t="n">
        <v>17</v>
      </c>
      <c r="B24" s="8" t="inlineStr">
        <is>
          <t>Radio de giro débil</t>
        </is>
      </c>
      <c r="C24" s="17" t="inlineStr">
        <is>
          <t>mm</t>
        </is>
      </c>
      <c r="D24" s="26">
        <f>SQRT($D$18/$D$16)</f>
        <v/>
      </c>
      <c r="K24" s="17" t="inlineStr">
        <is>
          <t>rw</t>
        </is>
      </c>
      <c r="L24" s="24" t="inlineStr">
        <is>
          <t>valor = SQRT(Iw/A)</t>
        </is>
      </c>
    </row>
    <row r="25">
      <c r="A25" s="17" t="n">
        <v>18</v>
      </c>
      <c r="B25" s="8" t="inlineStr">
        <is>
          <t>Radio polar al cuadrado</t>
        </is>
      </c>
      <c r="C25" s="17" t="inlineStr">
        <is>
          <t>mm²</t>
        </is>
      </c>
      <c r="D25" s="38">
        <f>($D$17+$D$18)/$D$16</f>
        <v/>
      </c>
      <c r="K25" s="17" t="inlineStr">
        <is>
          <t>r02</t>
        </is>
      </c>
      <c r="L25" s="24" t="inlineStr">
        <is>
          <t>valor = (Is+Iw)/A</t>
        </is>
      </c>
    </row>
    <row r="26">
      <c r="A26" s="17" t="n">
        <v>19</v>
      </c>
      <c r="B26" s="8" t="inlineStr">
        <is>
          <t>kc = 4/√(h/tw), entre 0,35 y 0,763</t>
        </is>
      </c>
      <c r="C26" s="17" t="inlineStr"/>
      <c r="D26" s="36">
        <f>MIN(0.763,MAX(0.35,4/SQRT($D$11/$D$12)))</f>
        <v/>
      </c>
      <c r="K26" s="17" t="inlineStr">
        <is>
          <t>kc</t>
        </is>
      </c>
      <c r="L26" s="24" t="inlineStr">
        <is>
          <t>valor = MIN(0.763,MAX(0.35,4/SQRT(hw/tw)))</t>
        </is>
      </c>
    </row>
    <row r="27">
      <c r="A27" s="17" t="n">
        <v>20</v>
      </c>
      <c r="B27" s="8" t="inlineStr">
        <is>
          <t>Momento plástico</t>
        </is>
      </c>
      <c r="C27" s="17" t="inlineStr">
        <is>
          <t>N·mm</t>
        </is>
      </c>
      <c r="D27" s="27">
        <f>$D$10*$D$20</f>
        <v/>
      </c>
      <c r="K27" s="17" t="inlineStr">
        <is>
          <t>Mp</t>
        </is>
      </c>
      <c r="L27" s="24" t="inlineStr">
        <is>
          <t>valor = Fy*Zs</t>
        </is>
      </c>
    </row>
    <row r="28">
      <c r="A28" s="17" t="n">
        <v>21</v>
      </c>
      <c r="B28" s="8" t="inlineStr">
        <is>
          <t>FL = Fy − 114 MPa (soldadas)</t>
        </is>
      </c>
      <c r="C28" s="17" t="inlineStr">
        <is>
          <t>MPa</t>
        </is>
      </c>
      <c r="D28" s="26">
        <f>$D$10-114</f>
        <v/>
      </c>
      <c r="K28" s="17" t="inlineStr">
        <is>
          <t>FL</t>
        </is>
      </c>
      <c r="L28" s="24" t="inlineStr">
        <is>
          <t>valor = Fy-114</t>
        </is>
      </c>
    </row>
    <row r="29">
      <c r="A29" s="17" t="n">
        <v>22</v>
      </c>
      <c r="B29" s="8" t="inlineStr">
        <is>
          <t>Mr = FL·Sxc</t>
        </is>
      </c>
      <c r="C29" s="17" t="inlineStr">
        <is>
          <t>N·mm</t>
        </is>
      </c>
      <c r="D29" s="27">
        <f>$D$28*$D$19</f>
        <v/>
      </c>
      <c r="K29" s="17" t="inlineStr">
        <is>
          <t>Mr</t>
        </is>
      </c>
      <c r="L29" s="24" t="inlineStr">
        <is>
          <t>valor = FL*Ss</t>
        </is>
      </c>
    </row>
    <row r="30">
      <c r="A30" s="17" t="n">
        <v>23</v>
      </c>
      <c r="B30" s="8" t="inlineStr">
        <is>
          <t>Esbeltez del ala</t>
        </is>
      </c>
      <c r="C30" s="17" t="inlineStr"/>
      <c r="D30" s="26">
        <f>($D$13/2)/$D$14</f>
        <v/>
      </c>
      <c r="K30" s="17" t="inlineStr">
        <is>
          <t>lamf</t>
        </is>
      </c>
      <c r="L30" s="24" t="inlineStr">
        <is>
          <t>valor = (bf/2)/tf</t>
        </is>
      </c>
    </row>
    <row r="31">
      <c r="A31" s="17" t="n">
        <v>24</v>
      </c>
      <c r="B31" s="8" t="inlineStr">
        <is>
          <t>λp del ala</t>
        </is>
      </c>
      <c r="C31" s="17" t="inlineStr"/>
      <c r="D31" s="26">
        <f>0.38*SQRT($D$8/$D$10)</f>
        <v/>
      </c>
      <c r="K31" s="17" t="inlineStr">
        <is>
          <t>lamp</t>
        </is>
      </c>
      <c r="L31" s="24" t="inlineStr">
        <is>
          <t>valor = 0.38*SQRT(E/Fy)</t>
        </is>
      </c>
    </row>
    <row r="32">
      <c r="A32" s="17" t="n">
        <v>25</v>
      </c>
      <c r="B32" s="8" t="inlineStr">
        <is>
          <t>λr del ala (soldada)</t>
        </is>
      </c>
      <c r="C32" s="17" t="inlineStr"/>
      <c r="D32" s="26">
        <f>0.95*SQRT($D$26*$D$8/$D$28)</f>
        <v/>
      </c>
      <c r="K32" s="17" t="inlineStr">
        <is>
          <t>lamr</t>
        </is>
      </c>
      <c r="L32" s="24" t="inlineStr">
        <is>
          <t>valor = 0.95*SQRT(kc*E/FL)</t>
        </is>
      </c>
    </row>
    <row r="33">
      <c r="A33" s="17" t="n">
        <v>26</v>
      </c>
      <c r="B33" s="8" t="inlineStr">
        <is>
          <t>Esbeltez del alma</t>
        </is>
      </c>
      <c r="C33" s="17" t="inlineStr"/>
      <c r="D33" s="26">
        <f>$D$11/$D$12</f>
        <v/>
      </c>
      <c r="K33" s="17" t="inlineStr">
        <is>
          <t>lamw</t>
        </is>
      </c>
      <c r="L33" s="24" t="inlineStr">
        <is>
          <t>valor = hw/tw</t>
        </is>
      </c>
    </row>
    <row r="34">
      <c r="A34" s="17" t="n">
        <v>27</v>
      </c>
      <c r="B34" s="8" t="inlineStr">
        <is>
          <t>λp del alma (flexión pura): el alma es compacta si λ ≤ λp</t>
        </is>
      </c>
      <c r="C34" s="17" t="inlineStr"/>
      <c r="D34" s="26">
        <f>3.76*SQRT($D$8/$D$10)</f>
        <v/>
      </c>
      <c r="K34" s="17" t="inlineStr">
        <is>
          <t>lampw</t>
        </is>
      </c>
      <c r="L34" s="24" t="inlineStr">
        <is>
          <t>valor = 3.76*SQRT(E/Fy)</t>
        </is>
      </c>
    </row>
    <row r="35">
      <c r="A35" s="17" t="n">
        <v>28</v>
      </c>
      <c r="B35" s="8" t="inlineStr">
        <is>
          <t>Lp</t>
        </is>
      </c>
      <c r="C35" s="17" t="inlineStr">
        <is>
          <t>mm</t>
        </is>
      </c>
      <c r="D35" s="38">
        <f>1.76*$D$24*SQRT($D$8/$D$10)</f>
        <v/>
      </c>
      <c r="K35" s="17" t="inlineStr">
        <is>
          <t>Lp</t>
        </is>
      </c>
      <c r="L35" s="24" t="inlineStr">
        <is>
          <t>valor = 1.76*rw*SQRT(E/Fy)</t>
        </is>
      </c>
    </row>
    <row r="36">
      <c r="A36" s="17" t="n">
        <v>29</v>
      </c>
      <c r="B36" s="8" t="inlineStr">
        <is>
          <t>X1</t>
        </is>
      </c>
      <c r="C36" s="17" t="inlineStr">
        <is>
          <t>MPa</t>
        </is>
      </c>
      <c r="D36" s="38">
        <f>PI()/$D$19*SQRT($D$8*$D$9*$D$21*$D$16/2)</f>
        <v/>
      </c>
      <c r="K36" s="17" t="inlineStr">
        <is>
          <t>X1</t>
        </is>
      </c>
      <c r="L36" s="24" t="inlineStr">
        <is>
          <t>valor = PI()/Ss*SQRT(E*G*J*A/2)</t>
        </is>
      </c>
    </row>
    <row r="37">
      <c r="A37" s="17" t="n">
        <v>30</v>
      </c>
      <c r="B37" s="8" t="inlineStr">
        <is>
          <t>X2</t>
        </is>
      </c>
      <c r="C37" s="17" t="inlineStr">
        <is>
          <t>1/MPa²</t>
        </is>
      </c>
      <c r="D37" s="33">
        <f>4*$D$22/$D$18*($D$19/($D$9*$D$21))^2</f>
        <v/>
      </c>
      <c r="K37" s="17" t="inlineStr">
        <is>
          <t>X2</t>
        </is>
      </c>
      <c r="L37" s="24" t="inlineStr">
        <is>
          <t>valor = 4*Cw/Iw*(Ss/(G*J))^2</t>
        </is>
      </c>
    </row>
    <row r="38">
      <c r="A38" s="17" t="n">
        <v>31</v>
      </c>
      <c r="B38" s="8" t="inlineStr">
        <is>
          <t>Lr</t>
        </is>
      </c>
      <c r="C38" s="17" t="inlineStr">
        <is>
          <t>mm</t>
        </is>
      </c>
      <c r="D38" s="38">
        <f>$D$24*$D$36/$D$28*SQRT(1+SQRT(1+$D$37*$D$28^2))</f>
        <v/>
      </c>
      <c r="K38" s="17" t="inlineStr">
        <is>
          <t>Lr</t>
        </is>
      </c>
      <c r="L38" s="24" t="inlineStr">
        <is>
          <t>valor = rw*X1/FL*SQRT(1+SQRT(1+X2*FL^2))</t>
        </is>
      </c>
    </row>
    <row r="39">
      <c r="A39" s="17" t="n">
        <v>32</v>
      </c>
      <c r="B39" s="8" t="inlineStr">
        <is>
          <t>Longitud sin arriostrar (Cb = 1)</t>
        </is>
      </c>
      <c r="C39" s="17" t="inlineStr">
        <is>
          <t>mm</t>
        </is>
      </c>
      <c r="D39" s="23" t="n">
        <v>3000</v>
      </c>
      <c r="K39" s="17" t="inlineStr">
        <is>
          <t>Lb1</t>
        </is>
      </c>
      <c r="L39" s="24" t="inlineStr">
        <is>
          <t>dato ingresado</t>
        </is>
      </c>
    </row>
    <row r="40">
      <c r="A40" s="17" t="n">
        <v>33</v>
      </c>
      <c r="B40" s="8" t="inlineStr">
        <is>
          <t>Mn por pandeo local del ala</t>
        </is>
      </c>
      <c r="C40" s="17" t="inlineStr">
        <is>
          <t>N·mm</t>
        </is>
      </c>
      <c r="D40" s="27">
        <f>IF($D$30&lt;=$D$31,$D$27,IF($D$30&lt;=$D$32,$D$27-($D$27-$D$29)*($D$30-$D$31)/($D$32-$D$31),0.9*$D$8*$D$26*$D$19/$D$30^2))</f>
        <v/>
      </c>
      <c r="K40" s="17" t="inlineStr">
        <is>
          <t>Mflb1</t>
        </is>
      </c>
      <c r="L40" s="24" t="inlineStr">
        <is>
          <t>valor = IF(lamf&lt;=lamp,Mp,IF(lamf&lt;=lamr,Mp-(Mp-Mr)*(lamf-lamp)/(lamr-lamp),0.9*E*kc*Ss/lamf^2))</t>
        </is>
      </c>
    </row>
    <row r="41">
      <c r="A41" s="17" t="n">
        <v>34</v>
      </c>
      <c r="B41" s="8" t="inlineStr">
        <is>
          <t>Mn por pandeo lateral-torsional</t>
        </is>
      </c>
      <c r="C41" s="17" t="inlineStr">
        <is>
          <t>N·mm</t>
        </is>
      </c>
      <c r="D41" s="27">
        <f>IF($D$39&lt;=$D$35,$D$27,IF($D$39&lt;=$D$38,$D$27-($D$27-$D$29)*($D$39-$D$35)/($D$38-$D$35),PI()/$D$39*SQRT($D$8*$D$18*$D$9*$D$21+(PI()*$D$8/$D$39)^2*$D$18*$D$22)))</f>
        <v/>
      </c>
      <c r="K41" s="17" t="inlineStr">
        <is>
          <t>Mltb1</t>
        </is>
      </c>
      <c r="L41" s="24" t="inlineStr">
        <is>
          <t>valor = IF(Lb1&lt;=Lp,Mp,IF(Lb1&lt;=Lr,Mp-(Mp-Mr)*(Lb1-Lp)/(Lr-Lp),PI()/Lb1*SQRT(E*Iw*G*J+(PI()*E/Lb1)^2*Iw*Cw)))</t>
        </is>
      </c>
    </row>
    <row r="42">
      <c r="A42" s="17" t="n">
        <v>35</v>
      </c>
      <c r="B42" s="8" t="inlineStr">
        <is>
          <t>Resistencia nominal</t>
        </is>
      </c>
      <c r="C42" s="17" t="inlineStr">
        <is>
          <t>N·mm</t>
        </is>
      </c>
      <c r="D42" s="27">
        <f>MIN($D$27,$D$40,$D$41)</f>
        <v/>
      </c>
      <c r="K42" s="17" t="inlineStr">
        <is>
          <t>Mn1</t>
        </is>
      </c>
      <c r="L42" s="24" t="inlineStr">
        <is>
          <t>valor = MIN(Mp,Mflb1,Mltb1)</t>
        </is>
      </c>
    </row>
    <row r="43">
      <c r="A43" s="17" t="n">
        <v>36</v>
      </c>
      <c r="B43" s="8" t="inlineStr">
        <is>
          <t>Resistencia de diseño φb·Mn</t>
        </is>
      </c>
      <c r="C43" s="17" t="inlineStr">
        <is>
          <t>kN·m</t>
        </is>
      </c>
      <c r="D43" s="26">
        <f>0.9*$D$42/1000000</f>
        <v/>
      </c>
      <c r="K43" s="17" t="inlineStr">
        <is>
          <t>phiMn1</t>
        </is>
      </c>
      <c r="L43" s="24" t="inlineStr">
        <is>
          <t>valor = 0.9*Mn1/1000000</t>
        </is>
      </c>
    </row>
    <row r="44">
      <c r="A44" s="17" t="n">
        <v>37</v>
      </c>
      <c r="B44" s="8" t="inlineStr">
        <is>
          <t>Longitud sin arriostrar (Cb = 1)</t>
        </is>
      </c>
      <c r="C44" s="17" t="inlineStr">
        <is>
          <t>mm</t>
        </is>
      </c>
      <c r="D44" s="23" t="n">
        <v>9000</v>
      </c>
      <c r="K44" s="17" t="inlineStr">
        <is>
          <t>Lb2</t>
        </is>
      </c>
      <c r="L44" s="24" t="inlineStr">
        <is>
          <t>dato ingresado</t>
        </is>
      </c>
    </row>
    <row r="45">
      <c r="A45" s="17" t="n">
        <v>38</v>
      </c>
      <c r="B45" s="8" t="inlineStr">
        <is>
          <t>Mn por pandeo local del ala</t>
        </is>
      </c>
      <c r="C45" s="17" t="inlineStr">
        <is>
          <t>N·mm</t>
        </is>
      </c>
      <c r="D45" s="27">
        <f>IF($D$30&lt;=$D$31,$D$27,IF($D$30&lt;=$D$32,$D$27-($D$27-$D$29)*($D$30-$D$31)/($D$32-$D$31),0.9*$D$8*$D$26*$D$19/$D$30^2))</f>
        <v/>
      </c>
      <c r="K45" s="17" t="inlineStr">
        <is>
          <t>Mflb2</t>
        </is>
      </c>
      <c r="L45" s="24" t="inlineStr">
        <is>
          <t>valor = IF(lamf&lt;=lamp,Mp,IF(lamf&lt;=lamr,Mp-(Mp-Mr)*(lamf-lamp)/(lamr-lamp),0.9*E*kc*Ss/lamf^2))</t>
        </is>
      </c>
    </row>
    <row r="46">
      <c r="A46" s="17" t="n">
        <v>39</v>
      </c>
      <c r="B46" s="8" t="inlineStr">
        <is>
          <t>Mn por pandeo lateral-torsional</t>
        </is>
      </c>
      <c r="C46" s="17" t="inlineStr">
        <is>
          <t>N·mm</t>
        </is>
      </c>
      <c r="D46" s="27">
        <f>IF($D$44&lt;=$D$35,$D$27,IF($D$44&lt;=$D$38,$D$27-($D$27-$D$29)*($D$44-$D$35)/($D$38-$D$35),PI()/$D$44*SQRT($D$8*$D$18*$D$9*$D$21+(PI()*$D$8/$D$44)^2*$D$18*$D$22)))</f>
        <v/>
      </c>
      <c r="K46" s="17" t="inlineStr">
        <is>
          <t>Mltb2</t>
        </is>
      </c>
      <c r="L46" s="24" t="inlineStr">
        <is>
          <t>valor = IF(Lb2&lt;=Lp,Mp,IF(Lb2&lt;=Lr,Mp-(Mp-Mr)*(Lb2-Lp)/(Lr-Lp),PI()/Lb2*SQRT(E*Iw*G*J+(PI()*E/Lb2)^2*Iw*Cw)))</t>
        </is>
      </c>
    </row>
    <row r="47">
      <c r="A47" s="17" t="n">
        <v>40</v>
      </c>
      <c r="B47" s="8" t="inlineStr">
        <is>
          <t>Resistencia nominal</t>
        </is>
      </c>
      <c r="C47" s="17" t="inlineStr">
        <is>
          <t>N·mm</t>
        </is>
      </c>
      <c r="D47" s="27">
        <f>MIN($D$27,$D$45,$D$46)</f>
        <v/>
      </c>
      <c r="K47" s="17" t="inlineStr">
        <is>
          <t>Mn2</t>
        </is>
      </c>
      <c r="L47" s="24" t="inlineStr">
        <is>
          <t>valor = MIN(Mp,Mflb2,Mltb2)</t>
        </is>
      </c>
    </row>
    <row r="48">
      <c r="A48" s="17" t="n">
        <v>41</v>
      </c>
      <c r="B48" s="8" t="inlineStr">
        <is>
          <t>Resistencia de diseño φb·Mn</t>
        </is>
      </c>
      <c r="C48" s="17" t="inlineStr">
        <is>
          <t>kN·m</t>
        </is>
      </c>
      <c r="D48" s="26">
        <f>0.9*$D$47/1000000</f>
        <v/>
      </c>
      <c r="K48" s="17" t="inlineStr">
        <is>
          <t>phiMn2</t>
        </is>
      </c>
      <c r="L48" s="24" t="inlineStr">
        <is>
          <t>valor = 0.9*Mn2/1000000</t>
        </is>
      </c>
    </row>
    <row r="50">
      <c r="A50" s="22" t="inlineStr">
        <is>
          <t>COMPARACIÓN: TEORÍA / DATO PUBLICADO  vs  PROGRAMA (Atlas Estructuras 3D)</t>
        </is>
      </c>
      <c r="B50" s="22" t="n"/>
      <c r="C50" s="22" t="n"/>
      <c r="D50" s="22" t="n"/>
      <c r="E50" s="22" t="n"/>
      <c r="F50" s="22" t="n"/>
      <c r="G50" s="22" t="n"/>
      <c r="H50" s="22" t="n"/>
      <c r="I50" s="22" t="n"/>
      <c r="J50" s="22" t="n"/>
      <c r="K50" s="22" t="n"/>
      <c r="L50" s="22" t="n"/>
      <c r="M50" s="22" t="n"/>
      <c r="N50" s="22" t="n"/>
    </row>
    <row r="51" ht="30" customHeight="1">
      <c r="A51" s="5" t="inlineStr">
        <is>
          <t>#</t>
        </is>
      </c>
      <c r="B51" s="5" t="inlineStr">
        <is>
          <t>Comprobación</t>
        </is>
      </c>
      <c r="C51" s="5" t="inlineStr">
        <is>
          <t>Unidad</t>
        </is>
      </c>
      <c r="D51" s="5" t="inlineStr">
        <is>
          <t>Teoría / publicado</t>
        </is>
      </c>
      <c r="E51" s="5" t="inlineStr">
        <is>
          <t>Programa</t>
        </is>
      </c>
      <c r="F51" s="5" t="inlineStr">
        <is>
          <t>Diferencia (prog. − teoría)</t>
        </is>
      </c>
      <c r="G51" s="5" t="inlineStr">
        <is>
          <t>Error relativo</t>
        </is>
      </c>
      <c r="H51" s="5" t="inlineStr">
        <is>
          <t>Tol. relativa</t>
        </is>
      </c>
      <c r="I51" s="5" t="inlineStr">
        <is>
          <t>Tol. absoluta</t>
        </is>
      </c>
      <c r="J51" s="5" t="inlineStr">
        <is>
          <t>Estado</t>
        </is>
      </c>
      <c r="K51" s="5" t="inlineStr">
        <is>
          <t>Origen</t>
        </is>
      </c>
      <c r="L51" s="5" t="inlineStr">
        <is>
          <t>Expresión de la teoría (texto)</t>
        </is>
      </c>
      <c r="M51" s="5" t="inlineStr">
        <is>
          <t>Dónde se lee en el programa</t>
        </is>
      </c>
      <c r="N51" s="5" t="inlineStr">
        <is>
          <t>Nota</t>
        </is>
      </c>
    </row>
    <row r="52" ht="16" customHeight="1">
      <c r="A52" s="17" t="n">
        <v>1</v>
      </c>
      <c r="B52" s="8" t="inlineStr">
        <is>
          <t>Esbeltez del ala b/t</t>
        </is>
      </c>
      <c r="C52" s="17" t="inlineStr"/>
      <c r="D52" s="26">
        <f>$D$30</f>
        <v/>
      </c>
      <c r="E52" s="25" t="n">
        <v>20</v>
      </c>
      <c r="F52" s="27">
        <f>E52-D52</f>
        <v/>
      </c>
      <c r="G52" s="28">
        <f>IF(ABS(D52)&gt;0.000000000001,F52/D52,"—")</f>
        <v/>
      </c>
      <c r="H52" s="29" t="n">
        <v>0.0001</v>
      </c>
      <c r="I52" s="30" t="n">
        <v>1e-06</v>
      </c>
      <c r="J52" s="31">
        <f>IF(ABS(F52)&lt;=MAX(H52*ABS(D52),I52),"OK","NO")</f>
        <v/>
      </c>
      <c r="K52" s="17" t="inlineStr">
        <is>
          <t>Fórmula</t>
        </is>
      </c>
      <c r="L52" s="9" t="inlineStr">
        <is>
          <t>lamf</t>
        </is>
      </c>
      <c r="M52" s="9" t="inlineStr">
        <is>
          <t>Barra 1: elemento n.º 1 de la sección en flexión (esbeltez)</t>
        </is>
      </c>
      <c r="N52" s="9" t="inlineStr"/>
    </row>
    <row r="53" ht="16" customHeight="1">
      <c r="A53" s="17" t="n">
        <v>2</v>
      </c>
      <c r="B53" s="8" t="inlineStr">
        <is>
          <t>Límite λp del ala</t>
        </is>
      </c>
      <c r="C53" s="17" t="inlineStr"/>
      <c r="D53" s="26">
        <f>$D$31</f>
        <v/>
      </c>
      <c r="E53" s="25" t="n">
        <v>11.08573935383999</v>
      </c>
      <c r="F53" s="27">
        <f>E53-D53</f>
        <v/>
      </c>
      <c r="G53" s="28">
        <f>IF(ABS(D53)&gt;0.000000000001,F53/D53,"—")</f>
        <v/>
      </c>
      <c r="H53" s="29" t="n">
        <v>0.0001</v>
      </c>
      <c r="I53" s="30" t="n">
        <v>1e-06</v>
      </c>
      <c r="J53" s="31">
        <f>IF(ABS(F53)&lt;=MAX(H53*ABS(D53),I53),"OK","NO")</f>
        <v/>
      </c>
      <c r="K53" s="17" t="inlineStr">
        <is>
          <t>Fórmula</t>
        </is>
      </c>
      <c r="L53" s="9" t="inlineStr">
        <is>
          <t>lamp</t>
        </is>
      </c>
      <c r="M53" s="9" t="inlineStr">
        <is>
          <t>Barra 1: elemento n.º 1 de la sección en flexión (límite λp)</t>
        </is>
      </c>
      <c r="N53" s="9" t="inlineStr"/>
    </row>
    <row r="54" ht="16" customHeight="1">
      <c r="A54" s="17" t="n">
        <v>3</v>
      </c>
      <c r="B54" s="8" t="inlineStr">
        <is>
          <t>Límite λr del ala (soldada)</t>
        </is>
      </c>
      <c r="C54" s="17" t="inlineStr"/>
      <c r="D54" s="26">
        <f>$D$32</f>
        <v/>
      </c>
      <c r="E54" s="25" t="n">
        <v>29.04914889058286</v>
      </c>
      <c r="F54" s="27">
        <f>E54-D54</f>
        <v/>
      </c>
      <c r="G54" s="28">
        <f>IF(ABS(D54)&gt;0.000000000001,F54/D54,"—")</f>
        <v/>
      </c>
      <c r="H54" s="29" t="n">
        <v>0.0001</v>
      </c>
      <c r="I54" s="30" t="n">
        <v>1e-06</v>
      </c>
      <c r="J54" s="31">
        <f>IF(ABS(F54)&lt;=MAX(H54*ABS(D54),I54),"OK","NO")</f>
        <v/>
      </c>
      <c r="K54" s="17" t="inlineStr">
        <is>
          <t>Fórmula</t>
        </is>
      </c>
      <c r="L54" s="9" t="inlineStr">
        <is>
          <t>lamr</t>
        </is>
      </c>
      <c r="M54" s="9" t="inlineStr">
        <is>
          <t>Barra 1: elemento n.º 1 de la sección en flexión (límite λr)</t>
        </is>
      </c>
      <c r="N54" s="9" t="inlineStr"/>
    </row>
    <row r="55" ht="16" customHeight="1">
      <c r="A55" s="17" t="n">
        <v>4</v>
      </c>
      <c r="B55" s="8" t="inlineStr">
        <is>
          <t>Esbeltez del alma h/tw</t>
        </is>
      </c>
      <c r="C55" s="17" t="inlineStr"/>
      <c r="D55" s="26">
        <f>$D$33</f>
        <v/>
      </c>
      <c r="E55" s="25" t="n">
        <v>50</v>
      </c>
      <c r="F55" s="27">
        <f>E55-D55</f>
        <v/>
      </c>
      <c r="G55" s="28">
        <f>IF(ABS(D55)&gt;0.000000000001,F55/D55,"—")</f>
        <v/>
      </c>
      <c r="H55" s="29" t="n">
        <v>0.0001</v>
      </c>
      <c r="I55" s="30" t="n">
        <v>1e-06</v>
      </c>
      <c r="J55" s="31">
        <f>IF(ABS(F55)&lt;=MAX(H55*ABS(D55),I55),"OK","NO")</f>
        <v/>
      </c>
      <c r="K55" s="17" t="inlineStr">
        <is>
          <t>Fórmula</t>
        </is>
      </c>
      <c r="L55" s="9" t="inlineStr">
        <is>
          <t>lamw</t>
        </is>
      </c>
      <c r="M55" s="9" t="inlineStr">
        <is>
          <t>Barra 1: elemento n.º 2 de la sección en flexión (esbeltez)</t>
        </is>
      </c>
      <c r="N55" s="9" t="inlineStr"/>
    </row>
    <row r="56" ht="16" customHeight="1">
      <c r="A56" s="17" t="n">
        <v>5</v>
      </c>
      <c r="B56" s="8" t="inlineStr">
        <is>
          <t>Límite λp del alma</t>
        </is>
      </c>
      <c r="C56" s="17" t="inlineStr"/>
      <c r="D56" s="26">
        <f>$D$34</f>
        <v/>
      </c>
      <c r="E56" s="25" t="n">
        <v>109.6904736064167</v>
      </c>
      <c r="F56" s="27">
        <f>E56-D56</f>
        <v/>
      </c>
      <c r="G56" s="28">
        <f>IF(ABS(D56)&gt;0.000000000001,F56/D56,"—")</f>
        <v/>
      </c>
      <c r="H56" s="29" t="n">
        <v>0.0001</v>
      </c>
      <c r="I56" s="30" t="n">
        <v>1e-06</v>
      </c>
      <c r="J56" s="31">
        <f>IF(ABS(F56)&lt;=MAX(H56*ABS(D56),I56),"OK","NO")</f>
        <v/>
      </c>
      <c r="K56" s="17" t="inlineStr">
        <is>
          <t>Fórmula</t>
        </is>
      </c>
      <c r="L56" s="9" t="inlineStr">
        <is>
          <t>lampw</t>
        </is>
      </c>
      <c r="M56" s="9" t="inlineStr">
        <is>
          <t>Barra 1: elemento n.º 2 de la sección en flexión (límite λp)</t>
        </is>
      </c>
      <c r="N56" s="9" t="inlineStr"/>
    </row>
    <row r="57" ht="16" customHeight="1">
      <c r="A57" s="17" t="n">
        <v>6</v>
      </c>
      <c r="B57" s="8" t="inlineStr">
        <is>
          <t>Longitud límite plástica Lp</t>
        </is>
      </c>
      <c r="C57" s="17" t="inlineStr">
        <is>
          <t>m</t>
        </is>
      </c>
      <c r="D57" s="26">
        <f>$D$35/1000</f>
        <v/>
      </c>
      <c r="E57" s="25" t="n">
        <v>3.400126222104282</v>
      </c>
      <c r="F57" s="27">
        <f>E57-D57</f>
        <v/>
      </c>
      <c r="G57" s="28">
        <f>IF(ABS(D57)&gt;0.000000000001,F57/D57,"—")</f>
        <v/>
      </c>
      <c r="H57" s="29" t="n">
        <v>0.0001</v>
      </c>
      <c r="I57" s="30" t="n">
        <v>1e-06</v>
      </c>
      <c r="J57" s="31">
        <f>IF(ABS(F57)&lt;=MAX(H57*ABS(D57),I57),"OK","NO")</f>
        <v/>
      </c>
      <c r="K57" s="17" t="inlineStr">
        <is>
          <t>Fórmula</t>
        </is>
      </c>
      <c r="L57" s="9" t="inlineStr">
        <is>
          <t>Lp/1000</t>
        </is>
      </c>
      <c r="M57" s="9" t="inlineStr">
        <is>
          <t>Barra 1: longitud Lp (verificación de perfiles)</t>
        </is>
      </c>
      <c r="N57" s="9" t="inlineStr"/>
    </row>
    <row r="58" ht="16" customHeight="1">
      <c r="A58" s="17" t="n">
        <v>7</v>
      </c>
      <c r="B58" s="8" t="inlineStr">
        <is>
          <t>Longitud límite inelástica Lr (FL = Fy − 114)</t>
        </is>
      </c>
      <c r="C58" s="17" t="inlineStr">
        <is>
          <t>m</t>
        </is>
      </c>
      <c r="D58" s="26">
        <f>$D$38/1000</f>
        <v/>
      </c>
      <c r="E58" s="25" t="n">
        <v>11.21254516893671</v>
      </c>
      <c r="F58" s="27">
        <f>E58-D58</f>
        <v/>
      </c>
      <c r="G58" s="28">
        <f>IF(ABS(D58)&gt;0.000000000001,F58/D58,"—")</f>
        <v/>
      </c>
      <c r="H58" s="29" t="n">
        <v>0.0001</v>
      </c>
      <c r="I58" s="30" t="n">
        <v>1e-06</v>
      </c>
      <c r="J58" s="31">
        <f>IF(ABS(F58)&lt;=MAX(H58*ABS(D58),I58),"OK","NO")</f>
        <v/>
      </c>
      <c r="K58" s="17" t="inlineStr">
        <is>
          <t>Fórmula</t>
        </is>
      </c>
      <c r="L58" s="9" t="inlineStr">
        <is>
          <t>Lr/1000</t>
        </is>
      </c>
      <c r="M58" s="9" t="inlineStr">
        <is>
          <t>Barra 1: longitud Lr (verificación de perfiles)</t>
        </is>
      </c>
      <c r="N58" s="9" t="inlineStr"/>
    </row>
    <row r="59" ht="16" customHeight="1">
      <c r="A59" s="17" t="n">
        <v>8</v>
      </c>
      <c r="B59" s="8" t="inlineStr">
        <is>
          <t>Viga 1 (Lb ≤ Lp): φb·Mn por pandeo local del ala</t>
        </is>
      </c>
      <c r="C59" s="17" t="inlineStr">
        <is>
          <t>kN·m</t>
        </is>
      </c>
      <c r="D59" s="26">
        <f>$D$43</f>
        <v/>
      </c>
      <c r="E59" s="25" t="n">
        <v>191.552777609295</v>
      </c>
      <c r="F59" s="27">
        <f>E59-D59</f>
        <v/>
      </c>
      <c r="G59" s="28">
        <f>IF(ABS(D59)&gt;0.000000000001,F59/D59,"—")</f>
        <v/>
      </c>
      <c r="H59" s="29" t="n">
        <v>0.0001</v>
      </c>
      <c r="I59" s="30" t="n">
        <v>1e-06</v>
      </c>
      <c r="J59" s="31">
        <f>IF(ABS(F59)&lt;=MAX(H59*ABS(D59),I59),"OK","NO")</f>
        <v/>
      </c>
      <c r="K59" s="17" t="inlineStr">
        <is>
          <t>Fórmula</t>
        </is>
      </c>
      <c r="L59" s="9" t="inlineStr">
        <is>
          <t>phiMn1</t>
        </is>
      </c>
      <c r="M59" s="9" t="inlineStr">
        <is>
          <t>Barra 1: φb·Mn flexión eje fuerte (verificación de perfiles)</t>
        </is>
      </c>
      <c r="N59" s="9" t="inlineStr"/>
    </row>
    <row r="60" ht="28" customHeight="1">
      <c r="A60" s="17" t="n">
        <v>9</v>
      </c>
      <c r="B60" s="8" t="inlineStr">
        <is>
          <t>Viga 2 (Lp &lt; Lb ≤ Lr): φb·Mn con pandeo lateral-torsional y local</t>
        </is>
      </c>
      <c r="C60" s="17" t="inlineStr">
        <is>
          <t>kN·m</t>
        </is>
      </c>
      <c r="D60" s="26">
        <f>$D$48</f>
        <v/>
      </c>
      <c r="E60" s="25" t="n">
        <v>160.4221872672126</v>
      </c>
      <c r="F60" s="27">
        <f>E60-D60</f>
        <v/>
      </c>
      <c r="G60" s="28">
        <f>IF(ABS(D60)&gt;0.000000000001,F60/D60,"—")</f>
        <v/>
      </c>
      <c r="H60" s="29" t="n">
        <v>0.0001</v>
      </c>
      <c r="I60" s="30" t="n">
        <v>1e-06</v>
      </c>
      <c r="J60" s="31">
        <f>IF(ABS(F60)&lt;=MAX(H60*ABS(D60),I60),"OK","NO")</f>
        <v/>
      </c>
      <c r="K60" s="17" t="inlineStr">
        <is>
          <t>Fórmula</t>
        </is>
      </c>
      <c r="L60" s="9" t="inlineStr">
        <is>
          <t>phiMn2</t>
        </is>
      </c>
      <c r="M60" s="9" t="inlineStr">
        <is>
          <t>Barra 2: φb·Mn flexión eje fuerte (verificación de perfiles)</t>
        </is>
      </c>
      <c r="N60" s="9" t="inlineStr"/>
    </row>
    <row r="62">
      <c r="B62" s="4" t="inlineStr">
        <is>
          <t>Comprobaciones dentro de tolerancia</t>
        </is>
      </c>
      <c r="D62" s="4">
        <f>COUNTIF(J52:J60,"OK")</f>
        <v/>
      </c>
      <c r="E62" s="4">
        <f>ROWS(J52:J60)</f>
        <v/>
      </c>
      <c r="F62" s="4">
        <f>IF(D62=E62,"VERIFICA","DIFIERE")</f>
        <v/>
      </c>
    </row>
    <row r="63">
      <c r="B63" s="2" t="inlineStr">
        <is>
          <t>Azul = dato ingresado o valor que entregó el programa (pegado); negro = fórmula de Excel. El valor «Programa» es el resultado del motor de cálculo de la app para el mismo modelo.</t>
        </is>
      </c>
    </row>
  </sheetData>
  <mergeCells count="2">
    <mergeCell ref="A3:L3"/>
    <mergeCell ref="A4:L4"/>
  </mergeCells>
  <conditionalFormatting sqref="J52:J60">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xl/worksheets/sheet48.xml><?xml version="1.0" encoding="utf-8"?>
<worksheet xmlns="http://schemas.openxmlformats.org/spreadsheetml/2006/main">
  <sheetPr>
    <outlinePr summaryBelow="1" summaryRight="1"/>
    <pageSetUpPr fitToPage="1"/>
  </sheetPr>
  <dimension ref="A1:N33"/>
  <sheetViews>
    <sheetView showGridLines="0" workbookViewId="0">
      <selection activeCell="A1" sqref="A1"/>
    </sheetView>
  </sheetViews>
  <sheetFormatPr baseColWidth="8" defaultRowHeight="15"/>
  <cols>
    <col width="5" customWidth="1" min="1" max="1"/>
    <col width="54" customWidth="1" min="2" max="2"/>
    <col width="11" customWidth="1" min="3" max="3"/>
    <col width="17" customWidth="1" min="4" max="4"/>
    <col width="17" customWidth="1" min="5" max="5"/>
    <col width="14" customWidth="1" min="6" max="6"/>
    <col width="11" customWidth="1" min="7" max="7"/>
    <col width="9" customWidth="1" min="8" max="8"/>
    <col width="9" customWidth="1" min="9" max="9"/>
    <col width="9" customWidth="1" min="10" max="10"/>
    <col width="13" customWidth="1" min="11" max="11"/>
    <col width="58" customWidth="1" min="12" max="12"/>
    <col width="46" customWidth="1" min="13" max="13"/>
    <col width="46" customWidth="1" min="14" max="14"/>
  </cols>
  <sheetData>
    <row r="1">
      <c r="A1" s="1" t="inlineStr">
        <is>
          <t>N14 · Combinaciones de acciones con 0,9D, nieve, viento y sismo (once acciones)</t>
        </is>
      </c>
    </row>
    <row r="2">
      <c r="A2" s="2" t="inlineStr">
        <is>
          <t>Fórmulas del Reglamento.  Fuente: Combinaciones de acciones del CIRSOC 301-2005 (A.4.1) y AISC-LRFD 1999 (A4-1 a A4-6); los factores se cargan en el ejercicio, no se toman del reglamento</t>
        </is>
      </c>
    </row>
    <row r="3" ht="40.5" customHeight="1">
      <c r="A3" s="14" t="inlineStr">
        <is>
          <t>Enunciado. Columna en voladizo IPE 200 de 3,00 m con cuatro acciones en la punta: D = 10 kN, L = 6 kN, S = 4 kN (hacia abajo), W = 8 kN y E = 5 kN (horizontales en X). Se arman ocho combinaciones de resistencia (1,4D; 1,2D+1,6L+0,5S; 1,2D+0,5L+1,6S; 1,2D+0,8W+1,6S; 1,2D+1,3W+0,5L+0,5S; 0,9D+1,3W; 1,2D+E+0,5L+0,2S; 0,9D−E) y se verifica que cada una combine las acciones con su factor: reacción vertical, reacción horizontal y momento en la base (estática pura).</t>
        </is>
      </c>
    </row>
    <row r="4" ht="28" customHeight="1">
      <c r="A4" s="14" t="inlineStr">
        <is>
          <t>Perfil. IPE 200 (tabla).</t>
        </is>
      </c>
    </row>
    <row r="6">
      <c r="A6" s="22" t="inlineStr">
        <is>
          <t>DATOS DEL EJERCICIO</t>
        </is>
      </c>
      <c r="B6" s="22" t="n"/>
      <c r="C6" s="22" t="n"/>
      <c r="D6" s="22" t="n"/>
      <c r="E6" s="22" t="n"/>
      <c r="F6" s="22" t="n"/>
      <c r="G6" s="22" t="n"/>
      <c r="H6" s="22" t="n"/>
      <c r="I6" s="22" t="n"/>
      <c r="J6" s="22" t="n"/>
      <c r="K6" s="22" t="n"/>
      <c r="L6" s="22" t="n"/>
      <c r="M6" s="22" t="n"/>
      <c r="N6" s="22" t="n"/>
    </row>
    <row r="7">
      <c r="A7" s="5" t="inlineStr">
        <is>
          <t>#</t>
        </is>
      </c>
      <c r="B7" s="5" t="inlineStr">
        <is>
          <t>Dato</t>
        </is>
      </c>
      <c r="C7" s="5" t="inlineStr">
        <is>
          <t>Unidad</t>
        </is>
      </c>
      <c r="D7" s="5" t="inlineStr">
        <is>
          <t>Valor</t>
        </is>
      </c>
      <c r="K7" s="5" t="inlineStr">
        <is>
          <t>Símbolo</t>
        </is>
      </c>
      <c r="L7" s="5" t="inlineStr">
        <is>
          <t>Fórmula (texto)</t>
        </is>
      </c>
    </row>
    <row r="8">
      <c r="A8" s="17" t="n">
        <v>1</v>
      </c>
      <c r="B8" s="8" t="inlineStr">
        <is>
          <t>Altura de la columna</t>
        </is>
      </c>
      <c r="C8" s="17" t="inlineStr">
        <is>
          <t>mm</t>
        </is>
      </c>
      <c r="D8" s="23" t="n">
        <v>3000</v>
      </c>
      <c r="K8" s="17" t="inlineStr">
        <is>
          <t>L</t>
        </is>
      </c>
      <c r="L8" s="24" t="inlineStr">
        <is>
          <t>dato ingresado</t>
        </is>
      </c>
    </row>
    <row r="9">
      <c r="A9" s="17" t="n">
        <v>2</v>
      </c>
      <c r="B9" s="8" t="inlineStr">
        <is>
          <t>Acción permanente</t>
        </is>
      </c>
      <c r="C9" s="17" t="inlineStr">
        <is>
          <t>kN</t>
        </is>
      </c>
      <c r="D9" s="25" t="n">
        <v>10</v>
      </c>
      <c r="K9" s="17" t="inlineStr">
        <is>
          <t>D</t>
        </is>
      </c>
      <c r="L9" s="24" t="inlineStr">
        <is>
          <t>dato ingresado</t>
        </is>
      </c>
    </row>
    <row r="10">
      <c r="A10" s="17" t="n">
        <v>3</v>
      </c>
      <c r="B10" s="8" t="inlineStr">
        <is>
          <t>Sobrecarga</t>
        </is>
      </c>
      <c r="C10" s="17" t="inlineStr">
        <is>
          <t>kN</t>
        </is>
      </c>
      <c r="D10" s="25" t="n">
        <v>6</v>
      </c>
      <c r="K10" s="17" t="inlineStr">
        <is>
          <t>Lv</t>
        </is>
      </c>
      <c r="L10" s="24" t="inlineStr">
        <is>
          <t>dato ingresado</t>
        </is>
      </c>
    </row>
    <row r="11">
      <c r="A11" s="17" t="n">
        <v>4</v>
      </c>
      <c r="B11" s="8" t="inlineStr">
        <is>
          <t>Nieve</t>
        </is>
      </c>
      <c r="C11" s="17" t="inlineStr">
        <is>
          <t>kN</t>
        </is>
      </c>
      <c r="D11" s="25" t="n">
        <v>4</v>
      </c>
      <c r="K11" s="17" t="inlineStr">
        <is>
          <t>S</t>
        </is>
      </c>
      <c r="L11" s="24" t="inlineStr">
        <is>
          <t>dato ingresado</t>
        </is>
      </c>
    </row>
    <row r="12">
      <c r="A12" s="17" t="n">
        <v>5</v>
      </c>
      <c r="B12" s="8" t="inlineStr">
        <is>
          <t>Viento horizontal en X</t>
        </is>
      </c>
      <c r="C12" s="17" t="inlineStr">
        <is>
          <t>kN</t>
        </is>
      </c>
      <c r="D12" s="25" t="n">
        <v>8</v>
      </c>
      <c r="K12" s="17" t="inlineStr">
        <is>
          <t>W</t>
        </is>
      </c>
      <c r="L12" s="24" t="inlineStr">
        <is>
          <t>dato ingresado</t>
        </is>
      </c>
    </row>
    <row r="13">
      <c r="A13" s="17" t="n">
        <v>6</v>
      </c>
      <c r="B13" s="8" t="inlineStr">
        <is>
          <t>Sismo horizontal en X</t>
        </is>
      </c>
      <c r="C13" s="17" t="inlineStr">
        <is>
          <t>kN</t>
        </is>
      </c>
      <c r="D13" s="25" t="n">
        <v>5</v>
      </c>
      <c r="K13" s="17" t="inlineStr">
        <is>
          <t>Esis</t>
        </is>
      </c>
      <c r="L13" s="24" t="inlineStr">
        <is>
          <t>dato ingresado</t>
        </is>
      </c>
    </row>
    <row r="15">
      <c r="A15" s="22" t="inlineStr">
        <is>
          <t>COMPARACIÓN: TEORÍA / DATO PUBLICADO  vs  PROGRAMA (Atlas Estructuras 3D)</t>
        </is>
      </c>
      <c r="B15" s="22" t="n"/>
      <c r="C15" s="22" t="n"/>
      <c r="D15" s="22" t="n"/>
      <c r="E15" s="22" t="n"/>
      <c r="F15" s="22" t="n"/>
      <c r="G15" s="22" t="n"/>
      <c r="H15" s="22" t="n"/>
      <c r="I15" s="22" t="n"/>
      <c r="J15" s="22" t="n"/>
      <c r="K15" s="22" t="n"/>
      <c r="L15" s="22" t="n"/>
      <c r="M15" s="22" t="n"/>
      <c r="N15" s="22" t="n"/>
    </row>
    <row r="16" ht="30" customHeight="1">
      <c r="A16" s="5" t="inlineStr">
        <is>
          <t>#</t>
        </is>
      </c>
      <c r="B16" s="5" t="inlineStr">
        <is>
          <t>Comprobación</t>
        </is>
      </c>
      <c r="C16" s="5" t="inlineStr">
        <is>
          <t>Unidad</t>
        </is>
      </c>
      <c r="D16" s="5" t="inlineStr">
        <is>
          <t>Teoría / publicado</t>
        </is>
      </c>
      <c r="E16" s="5" t="inlineStr">
        <is>
          <t>Programa</t>
        </is>
      </c>
      <c r="F16" s="5" t="inlineStr">
        <is>
          <t>Diferencia (prog. − teoría)</t>
        </is>
      </c>
      <c r="G16" s="5" t="inlineStr">
        <is>
          <t>Error relativo</t>
        </is>
      </c>
      <c r="H16" s="5" t="inlineStr">
        <is>
          <t>Tol. relativa</t>
        </is>
      </c>
      <c r="I16" s="5" t="inlineStr">
        <is>
          <t>Tol. absoluta</t>
        </is>
      </c>
      <c r="J16" s="5" t="inlineStr">
        <is>
          <t>Estado</t>
        </is>
      </c>
      <c r="K16" s="5" t="inlineStr">
        <is>
          <t>Origen</t>
        </is>
      </c>
      <c r="L16" s="5" t="inlineStr">
        <is>
          <t>Expresión de la teoría (texto)</t>
        </is>
      </c>
      <c r="M16" s="5" t="inlineStr">
        <is>
          <t>Dónde se lee en el programa</t>
        </is>
      </c>
      <c r="N16" s="5" t="inlineStr">
        <is>
          <t>Nota</t>
        </is>
      </c>
    </row>
    <row r="17" ht="16" customHeight="1">
      <c r="A17" s="17" t="n">
        <v>1</v>
      </c>
      <c r="B17" s="8" t="inlineStr">
        <is>
          <t>U1 1,4D: reacción vertical</t>
        </is>
      </c>
      <c r="C17" s="17" t="inlineStr">
        <is>
          <t>kN</t>
        </is>
      </c>
      <c r="D17" s="26">
        <f>1.4*$D$9</f>
        <v/>
      </c>
      <c r="E17" s="25" t="n">
        <v>14</v>
      </c>
      <c r="F17" s="27">
        <f>E17-D17</f>
        <v/>
      </c>
      <c r="G17" s="28">
        <f>IF(ABS(D17)&gt;0.000000000001,F17/D17,"—")</f>
        <v/>
      </c>
      <c r="H17" s="29" t="n">
        <v>1e-06</v>
      </c>
      <c r="I17" s="30" t="n">
        <v>1e-06</v>
      </c>
      <c r="J17" s="31">
        <f>IF(ABS(F17)&lt;=MAX(H17*ABS(D17),I17),"OK","NO")</f>
        <v/>
      </c>
      <c r="K17" s="17" t="inlineStr">
        <is>
          <t>Fórmula</t>
        </is>
      </c>
      <c r="L17" s="9" t="inlineStr">
        <is>
          <t>1.4*D</t>
        </is>
      </c>
      <c r="M17" s="9" t="inlineStr">
        <is>
          <t>Reacción Fz en el nudo 1 · combinación «U1: 1,4D»</t>
        </is>
      </c>
      <c r="N17" s="9" t="inlineStr"/>
    </row>
    <row r="18" ht="16" customHeight="1">
      <c r="A18" s="17" t="n">
        <v>2</v>
      </c>
      <c r="B18" s="8" t="inlineStr">
        <is>
          <t>U2 1,2D+1,6L+0,5S: reacción vertical</t>
        </is>
      </c>
      <c r="C18" s="17" t="inlineStr">
        <is>
          <t>kN</t>
        </is>
      </c>
      <c r="D18" s="26">
        <f>1.2*$D$9+1.6*$D$10+0.5*$D$11</f>
        <v/>
      </c>
      <c r="E18" s="25" t="n">
        <v>23.6</v>
      </c>
      <c r="F18" s="27">
        <f>E18-D18</f>
        <v/>
      </c>
      <c r="G18" s="28">
        <f>IF(ABS(D18)&gt;0.000000000001,F18/D18,"—")</f>
        <v/>
      </c>
      <c r="H18" s="29" t="n">
        <v>1e-06</v>
      </c>
      <c r="I18" s="30" t="n">
        <v>1e-06</v>
      </c>
      <c r="J18" s="31">
        <f>IF(ABS(F18)&lt;=MAX(H18*ABS(D18),I18),"OK","NO")</f>
        <v/>
      </c>
      <c r="K18" s="17" t="inlineStr">
        <is>
          <t>Fórmula</t>
        </is>
      </c>
      <c r="L18" s="9" t="inlineStr">
        <is>
          <t>1.2*D+1.6*Lv+0.5*S</t>
        </is>
      </c>
      <c r="M18" s="9" t="inlineStr">
        <is>
          <t>Reacción Fz en el nudo 1 · combinación «U2: 1,2D+1,6L+0,5S»</t>
        </is>
      </c>
      <c r="N18" s="9" t="inlineStr"/>
    </row>
    <row r="19" ht="16" customHeight="1">
      <c r="A19" s="17" t="n">
        <v>3</v>
      </c>
      <c r="B19" s="8" t="inlineStr">
        <is>
          <t>U3 1,2D+0,5L+1,6S: reacción vertical</t>
        </is>
      </c>
      <c r="C19" s="17" t="inlineStr">
        <is>
          <t>kN</t>
        </is>
      </c>
      <c r="D19" s="26">
        <f>1.2*$D$9+0.5*$D$10+1.6*$D$11</f>
        <v/>
      </c>
      <c r="E19" s="25" t="n">
        <v>21.4</v>
      </c>
      <c r="F19" s="27">
        <f>E19-D19</f>
        <v/>
      </c>
      <c r="G19" s="28">
        <f>IF(ABS(D19)&gt;0.000000000001,F19/D19,"—")</f>
        <v/>
      </c>
      <c r="H19" s="29" t="n">
        <v>1e-06</v>
      </c>
      <c r="I19" s="30" t="n">
        <v>1e-06</v>
      </c>
      <c r="J19" s="31">
        <f>IF(ABS(F19)&lt;=MAX(H19*ABS(D19),I19),"OK","NO")</f>
        <v/>
      </c>
      <c r="K19" s="17" t="inlineStr">
        <is>
          <t>Fórmula</t>
        </is>
      </c>
      <c r="L19" s="9" t="inlineStr">
        <is>
          <t>1.2*D+0.5*Lv+1.6*S</t>
        </is>
      </c>
      <c r="M19" s="9" t="inlineStr">
        <is>
          <t>Reacción Fz en el nudo 1 · combinación «U3: 1,2D+0,5L+1,6S»</t>
        </is>
      </c>
      <c r="N19" s="9" t="inlineStr"/>
    </row>
    <row r="20" ht="16" customHeight="1">
      <c r="A20" s="17" t="n">
        <v>4</v>
      </c>
      <c r="B20" s="8" t="inlineStr">
        <is>
          <t>U4 1,2D+1,6S+0,8W: reacción vertical</t>
        </is>
      </c>
      <c r="C20" s="17" t="inlineStr">
        <is>
          <t>kN</t>
        </is>
      </c>
      <c r="D20" s="26">
        <f>1.2*$D$9+1.6*$D$11</f>
        <v/>
      </c>
      <c r="E20" s="25" t="n">
        <v>18.4</v>
      </c>
      <c r="F20" s="27">
        <f>E20-D20</f>
        <v/>
      </c>
      <c r="G20" s="28">
        <f>IF(ABS(D20)&gt;0.000000000001,F20/D20,"—")</f>
        <v/>
      </c>
      <c r="H20" s="29" t="n">
        <v>1e-06</v>
      </c>
      <c r="I20" s="30" t="n">
        <v>1e-06</v>
      </c>
      <c r="J20" s="31">
        <f>IF(ABS(F20)&lt;=MAX(H20*ABS(D20),I20),"OK","NO")</f>
        <v/>
      </c>
      <c r="K20" s="17" t="inlineStr">
        <is>
          <t>Fórmula</t>
        </is>
      </c>
      <c r="L20" s="9" t="inlineStr">
        <is>
          <t>1.2*D+1.6*S</t>
        </is>
      </c>
      <c r="M20" s="9" t="inlineStr">
        <is>
          <t>Reacción Fz en el nudo 1 · combinación «U4: 1,2D+1,6S+0,8Wx»</t>
        </is>
      </c>
      <c r="N20" s="9" t="inlineStr"/>
    </row>
    <row r="21" ht="16" customHeight="1">
      <c r="A21" s="17" t="n">
        <v>5</v>
      </c>
      <c r="B21" s="8" t="inlineStr">
        <is>
          <t>U4 1,2D+1,6S+0,8W: reacción horizontal</t>
        </is>
      </c>
      <c r="C21" s="17" t="inlineStr">
        <is>
          <t>kN</t>
        </is>
      </c>
      <c r="D21" s="26">
        <f>-0.8*$D$12</f>
        <v/>
      </c>
      <c r="E21" s="25" t="n">
        <v>-6.399999999999998</v>
      </c>
      <c r="F21" s="27">
        <f>E21-D21</f>
        <v/>
      </c>
      <c r="G21" s="28">
        <f>IF(ABS(D21)&gt;0.000000000001,F21/D21,"—")</f>
        <v/>
      </c>
      <c r="H21" s="29" t="n">
        <v>1e-06</v>
      </c>
      <c r="I21" s="30" t="n">
        <v>1e-06</v>
      </c>
      <c r="J21" s="31">
        <f>IF(ABS(F21)&lt;=MAX(H21*ABS(D21),I21),"OK","NO")</f>
        <v/>
      </c>
      <c r="K21" s="17" t="inlineStr">
        <is>
          <t>Fórmula</t>
        </is>
      </c>
      <c r="L21" s="9" t="inlineStr">
        <is>
          <t>-0.8*W</t>
        </is>
      </c>
      <c r="M21" s="9" t="inlineStr">
        <is>
          <t>Reacción Fx en el nudo 1 · combinación «U4: 1,2D+1,6S+0,8Wx»</t>
        </is>
      </c>
      <c r="N21" s="9" t="inlineStr"/>
    </row>
    <row r="22" ht="28" customHeight="1">
      <c r="A22" s="17" t="n">
        <v>6</v>
      </c>
      <c r="B22" s="8" t="inlineStr">
        <is>
          <t>U5 1,2D+0,5L+0,5S+1,3W: reacción vertical</t>
        </is>
      </c>
      <c r="C22" s="17" t="inlineStr">
        <is>
          <t>kN</t>
        </is>
      </c>
      <c r="D22" s="26">
        <f>1.2*$D$9+0.5*$D$10+0.5*$D$11</f>
        <v/>
      </c>
      <c r="E22" s="25" t="n">
        <v>17</v>
      </c>
      <c r="F22" s="27">
        <f>E22-D22</f>
        <v/>
      </c>
      <c r="G22" s="28">
        <f>IF(ABS(D22)&gt;0.000000000001,F22/D22,"—")</f>
        <v/>
      </c>
      <c r="H22" s="29" t="n">
        <v>1e-06</v>
      </c>
      <c r="I22" s="30" t="n">
        <v>1e-06</v>
      </c>
      <c r="J22" s="31">
        <f>IF(ABS(F22)&lt;=MAX(H22*ABS(D22),I22),"OK","NO")</f>
        <v/>
      </c>
      <c r="K22" s="17" t="inlineStr">
        <is>
          <t>Fórmula</t>
        </is>
      </c>
      <c r="L22" s="9" t="inlineStr">
        <is>
          <t>1.2*D+0.5*Lv+0.5*S</t>
        </is>
      </c>
      <c r="M22" s="9" t="inlineStr">
        <is>
          <t>Reacción Fz en el nudo 1 · combinación «U5: 1,2D+0,5L+0,5S+1,3Wx»</t>
        </is>
      </c>
      <c r="N22" s="9" t="inlineStr"/>
    </row>
    <row r="23" ht="28" customHeight="1">
      <c r="A23" s="17" t="n">
        <v>7</v>
      </c>
      <c r="B23" s="8" t="inlineStr">
        <is>
          <t>U5 1,2D+0,5L+0,5S+1,3W: momento en la base</t>
        </is>
      </c>
      <c r="C23" s="17" t="inlineStr">
        <is>
          <t>kN·m</t>
        </is>
      </c>
      <c r="D23" s="26">
        <f>ABS(1.3*$D$12*$D$8/1000)</f>
        <v/>
      </c>
      <c r="E23" s="25" t="n">
        <v>31.19999998795675</v>
      </c>
      <c r="F23" s="27">
        <f>E23-D23</f>
        <v/>
      </c>
      <c r="G23" s="28">
        <f>IF(ABS(D23)&gt;0.000000000001,F23/D23,"—")</f>
        <v/>
      </c>
      <c r="H23" s="29" t="n">
        <v>1e-06</v>
      </c>
      <c r="I23" s="30" t="n">
        <v>1e-06</v>
      </c>
      <c r="J23" s="31">
        <f>IF(ABS(F23)&lt;=MAX(H23*ABS(D23),I23),"OK","NO")</f>
        <v/>
      </c>
      <c r="K23" s="17" t="inlineStr">
        <is>
          <t>Fórmula</t>
        </is>
      </c>
      <c r="L23" s="9" t="inlineStr">
        <is>
          <t>1.3*W*L/1000</t>
        </is>
      </c>
      <c r="M23" s="9" t="inlineStr">
        <is>
          <t>Reacción My en el nudo 1 · combinación «U5: 1,2D+0,5L+0,5S+1,3Wx»</t>
        </is>
      </c>
      <c r="N23" s="9" t="inlineStr">
        <is>
          <t>Se comparan valores absolutos (la convención de signo es independiente del resultado).</t>
        </is>
      </c>
    </row>
    <row r="24" ht="16" customHeight="1">
      <c r="A24" s="17" t="n">
        <v>8</v>
      </c>
      <c r="B24" s="8" t="inlineStr">
        <is>
          <t>U6 0,9D+1,3W: reacción vertical (solo 0,9D)</t>
        </is>
      </c>
      <c r="C24" s="17" t="inlineStr">
        <is>
          <t>kN</t>
        </is>
      </c>
      <c r="D24" s="26">
        <f>0.9*$D$9</f>
        <v/>
      </c>
      <c r="E24" s="25" t="n">
        <v>9</v>
      </c>
      <c r="F24" s="27">
        <f>E24-D24</f>
        <v/>
      </c>
      <c r="G24" s="28">
        <f>IF(ABS(D24)&gt;0.000000000001,F24/D24,"—")</f>
        <v/>
      </c>
      <c r="H24" s="29" t="n">
        <v>1e-06</v>
      </c>
      <c r="I24" s="30" t="n">
        <v>1e-06</v>
      </c>
      <c r="J24" s="31">
        <f>IF(ABS(F24)&lt;=MAX(H24*ABS(D24),I24),"OK","NO")</f>
        <v/>
      </c>
      <c r="K24" s="17" t="inlineStr">
        <is>
          <t>Fórmula</t>
        </is>
      </c>
      <c r="L24" s="9" t="inlineStr">
        <is>
          <t>0.9*D</t>
        </is>
      </c>
      <c r="M24" s="9" t="inlineStr">
        <is>
          <t>Reacción Fz en el nudo 1 · combinación «U6: 0,9D+1,3Wx»</t>
        </is>
      </c>
      <c r="N24" s="9" t="inlineStr"/>
    </row>
    <row r="25" ht="16" customHeight="1">
      <c r="A25" s="17" t="n">
        <v>9</v>
      </c>
      <c r="B25" s="8" t="inlineStr">
        <is>
          <t>U6 0,9D+1,3W: reacción horizontal</t>
        </is>
      </c>
      <c r="C25" s="17" t="inlineStr">
        <is>
          <t>kN</t>
        </is>
      </c>
      <c r="D25" s="26">
        <f>-1.3*$D$12</f>
        <v/>
      </c>
      <c r="E25" s="25" t="n">
        <v>-10.4</v>
      </c>
      <c r="F25" s="27">
        <f>E25-D25</f>
        <v/>
      </c>
      <c r="G25" s="28">
        <f>IF(ABS(D25)&gt;0.000000000001,F25/D25,"—")</f>
        <v/>
      </c>
      <c r="H25" s="29" t="n">
        <v>1e-06</v>
      </c>
      <c r="I25" s="30" t="n">
        <v>1e-06</v>
      </c>
      <c r="J25" s="31">
        <f>IF(ABS(F25)&lt;=MAX(H25*ABS(D25),I25),"OK","NO")</f>
        <v/>
      </c>
      <c r="K25" s="17" t="inlineStr">
        <is>
          <t>Fórmula</t>
        </is>
      </c>
      <c r="L25" s="9" t="inlineStr">
        <is>
          <t>-1.3*W</t>
        </is>
      </c>
      <c r="M25" s="9" t="inlineStr">
        <is>
          <t>Reacción Fx en el nudo 1 · combinación «U6: 0,9D+1,3Wx»</t>
        </is>
      </c>
      <c r="N25" s="9" t="inlineStr"/>
    </row>
    <row r="26" ht="28" customHeight="1">
      <c r="A26" s="17" t="n">
        <v>10</v>
      </c>
      <c r="B26" s="8" t="inlineStr">
        <is>
          <t>U7 1,2D+E+0,5L+0,2S: reacción vertical</t>
        </is>
      </c>
      <c r="C26" s="17" t="inlineStr">
        <is>
          <t>kN</t>
        </is>
      </c>
      <c r="D26" s="26">
        <f>1.2*$D$9+0.5*$D$10+0.2*$D$11</f>
        <v/>
      </c>
      <c r="E26" s="25" t="n">
        <v>15.8</v>
      </c>
      <c r="F26" s="27">
        <f>E26-D26</f>
        <v/>
      </c>
      <c r="G26" s="28">
        <f>IF(ABS(D26)&gt;0.000000000001,F26/D26,"—")</f>
        <v/>
      </c>
      <c r="H26" s="29" t="n">
        <v>1e-06</v>
      </c>
      <c r="I26" s="30" t="n">
        <v>1e-06</v>
      </c>
      <c r="J26" s="31">
        <f>IF(ABS(F26)&lt;=MAX(H26*ABS(D26),I26),"OK","NO")</f>
        <v/>
      </c>
      <c r="K26" s="17" t="inlineStr">
        <is>
          <t>Fórmula</t>
        </is>
      </c>
      <c r="L26" s="9" t="inlineStr">
        <is>
          <t>1.2*D+0.5*Lv+0.2*S</t>
        </is>
      </c>
      <c r="M26" s="9" t="inlineStr">
        <is>
          <t>Reacción Fz en el nudo 1 · combinación «U7: 1,2D+Ex+0,5L+0,2S»</t>
        </is>
      </c>
      <c r="N26" s="9" t="inlineStr"/>
    </row>
    <row r="27" ht="28" customHeight="1">
      <c r="A27" s="17" t="n">
        <v>11</v>
      </c>
      <c r="B27" s="8" t="inlineStr">
        <is>
          <t>U7 1,2D+E+0,5L+0,2S: reacción horizontal (solo E)</t>
        </is>
      </c>
      <c r="C27" s="17" t="inlineStr">
        <is>
          <t>kN</t>
        </is>
      </c>
      <c r="D27" s="26">
        <f>-$D$13</f>
        <v/>
      </c>
      <c r="E27" s="25" t="n">
        <v>-4.999999999999996</v>
      </c>
      <c r="F27" s="27">
        <f>E27-D27</f>
        <v/>
      </c>
      <c r="G27" s="28">
        <f>IF(ABS(D27)&gt;0.000000000001,F27/D27,"—")</f>
        <v/>
      </c>
      <c r="H27" s="29" t="n">
        <v>1e-06</v>
      </c>
      <c r="I27" s="30" t="n">
        <v>1e-06</v>
      </c>
      <c r="J27" s="31">
        <f>IF(ABS(F27)&lt;=MAX(H27*ABS(D27),I27),"OK","NO")</f>
        <v/>
      </c>
      <c r="K27" s="17" t="inlineStr">
        <is>
          <t>Fórmula</t>
        </is>
      </c>
      <c r="L27" s="9" t="inlineStr">
        <is>
          <t>-Esis</t>
        </is>
      </c>
      <c r="M27" s="9" t="inlineStr">
        <is>
          <t>Reacción Fx en el nudo 1 · combinación «U7: 1,2D+Ex+0,5L+0,2S»</t>
        </is>
      </c>
      <c r="N27" s="9" t="inlineStr"/>
    </row>
    <row r="28" ht="16" customHeight="1">
      <c r="A28" s="17" t="n">
        <v>12</v>
      </c>
      <c r="B28" s="8" t="inlineStr">
        <is>
          <t>U8 0,9D−E: reacción horizontal (sismo invertido)</t>
        </is>
      </c>
      <c r="C28" s="17" t="inlineStr">
        <is>
          <t>kN</t>
        </is>
      </c>
      <c r="D28" s="26">
        <f>$D$13</f>
        <v/>
      </c>
      <c r="E28" s="25" t="n">
        <v>4.999999999999996</v>
      </c>
      <c r="F28" s="27">
        <f>E28-D28</f>
        <v/>
      </c>
      <c r="G28" s="28">
        <f>IF(ABS(D28)&gt;0.000000000001,F28/D28,"—")</f>
        <v/>
      </c>
      <c r="H28" s="29" t="n">
        <v>1e-06</v>
      </c>
      <c r="I28" s="30" t="n">
        <v>1e-06</v>
      </c>
      <c r="J28" s="31">
        <f>IF(ABS(F28)&lt;=MAX(H28*ABS(D28),I28),"OK","NO")</f>
        <v/>
      </c>
      <c r="K28" s="17" t="inlineStr">
        <is>
          <t>Fórmula</t>
        </is>
      </c>
      <c r="L28" s="9" t="inlineStr">
        <is>
          <t>Esis</t>
        </is>
      </c>
      <c r="M28" s="9" t="inlineStr">
        <is>
          <t>Reacción Fx en el nudo 1 · combinación «U8: 0,9D-Ex»</t>
        </is>
      </c>
      <c r="N28" s="9" t="inlineStr"/>
    </row>
    <row r="29" ht="16" customHeight="1">
      <c r="A29" s="17" t="n">
        <v>13</v>
      </c>
      <c r="B29" s="8" t="inlineStr">
        <is>
          <t>U8 0,9D−E: momento en la base</t>
        </is>
      </c>
      <c r="C29" s="17" t="inlineStr">
        <is>
          <t>kN·m</t>
        </is>
      </c>
      <c r="D29" s="26">
        <f>ABS($D$13*$D$8/1000)</f>
        <v/>
      </c>
      <c r="E29" s="25" t="n">
        <v>14.99999999420997</v>
      </c>
      <c r="F29" s="27">
        <f>E29-D29</f>
        <v/>
      </c>
      <c r="G29" s="28">
        <f>IF(ABS(D29)&gt;0.000000000001,F29/D29,"—")</f>
        <v/>
      </c>
      <c r="H29" s="29" t="n">
        <v>1e-06</v>
      </c>
      <c r="I29" s="30" t="n">
        <v>1e-06</v>
      </c>
      <c r="J29" s="31">
        <f>IF(ABS(F29)&lt;=MAX(H29*ABS(D29),I29),"OK","NO")</f>
        <v/>
      </c>
      <c r="K29" s="17" t="inlineStr">
        <is>
          <t>Fórmula</t>
        </is>
      </c>
      <c r="L29" s="9" t="inlineStr">
        <is>
          <t>Esis*L/1000</t>
        </is>
      </c>
      <c r="M29" s="9" t="inlineStr">
        <is>
          <t>Reacción My en el nudo 1 · combinación «U8: 0,9D-Ex»</t>
        </is>
      </c>
      <c r="N29" s="9" t="inlineStr">
        <is>
          <t>Se comparan valores absolutos (la convención de signo es independiente del resultado).</t>
        </is>
      </c>
    </row>
    <row r="30" ht="16" customHeight="1">
      <c r="A30" s="17" t="n">
        <v>14</v>
      </c>
      <c r="B30" s="8" t="inlineStr">
        <is>
          <t>U8 0,9D−E: reacción vertical</t>
        </is>
      </c>
      <c r="C30" s="17" t="inlineStr">
        <is>
          <t>kN</t>
        </is>
      </c>
      <c r="D30" s="26">
        <f>0.9*$D$9</f>
        <v/>
      </c>
      <c r="E30" s="25" t="n">
        <v>9</v>
      </c>
      <c r="F30" s="27">
        <f>E30-D30</f>
        <v/>
      </c>
      <c r="G30" s="28">
        <f>IF(ABS(D30)&gt;0.000000000001,F30/D30,"—")</f>
        <v/>
      </c>
      <c r="H30" s="29" t="n">
        <v>1e-06</v>
      </c>
      <c r="I30" s="30" t="n">
        <v>1e-06</v>
      </c>
      <c r="J30" s="31">
        <f>IF(ABS(F30)&lt;=MAX(H30*ABS(D30),I30),"OK","NO")</f>
        <v/>
      </c>
      <c r="K30" s="17" t="inlineStr">
        <is>
          <t>Fórmula</t>
        </is>
      </c>
      <c r="L30" s="9" t="inlineStr">
        <is>
          <t>0.9*D</t>
        </is>
      </c>
      <c r="M30" s="9" t="inlineStr">
        <is>
          <t>Reacción Fz en el nudo 1 · combinación «U8: 0,9D-Ex»</t>
        </is>
      </c>
      <c r="N30" s="9" t="inlineStr"/>
    </row>
    <row r="32">
      <c r="B32" s="4" t="inlineStr">
        <is>
          <t>Comprobaciones dentro de tolerancia</t>
        </is>
      </c>
      <c r="D32" s="4">
        <f>COUNTIF(J17:J30,"OK")</f>
        <v/>
      </c>
      <c r="E32" s="4">
        <f>ROWS(J17:J30)</f>
        <v/>
      </c>
      <c r="F32" s="4">
        <f>IF(D32=E32,"VERIFICA","DIFIERE")</f>
        <v/>
      </c>
    </row>
    <row r="33">
      <c r="B33" s="2" t="inlineStr">
        <is>
          <t>Azul = dato ingresado o valor que entregó el programa (pegado); negro = fórmula de Excel. El valor «Programa» es el resultado del motor de cálculo de la app para el mismo modelo.</t>
        </is>
      </c>
    </row>
  </sheetData>
  <mergeCells count="2">
    <mergeCell ref="A3:L3"/>
    <mergeCell ref="A4:L4"/>
  </mergeCells>
  <conditionalFormatting sqref="J17:J30">
    <cfRule type="cellIs" priority="1" operator="equal" dxfId="0">
      <formula>"OK"</formula>
    </cfRule>
    <cfRule type="cellIs" priority="2" operator="equal" dxfId="1">
      <formula>"NO"</formula>
    </cfRule>
  </conditionalFormatting>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2026-10-05T12:59:59Z</dcterms:created>
  <dcterms:modified xmlns:dcterms="http://purl.org/dc/terms/" xmlns:xsi="http://www.w3.org/2001/XMLSchema-instance" xsi:type="dcterms:W3CDTF">2026-10-05T13:00:00Z</dcterms:modified>
</cp:coreProperties>
</file>